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nno365-my.sharepoint.com/personal/tseung_upenn_edu/Documents/WEMBA/Semester Work/spring25/OIDD Spring 25/exam/"/>
    </mc:Choice>
  </mc:AlternateContent>
  <xr:revisionPtr revIDLastSave="42" documentId="8_{777BC961-F23A-7A48-89B6-405B1D2DF9FB}" xr6:coauthVersionLast="47" xr6:coauthVersionMax="47" xr10:uidLastSave="{8BBB89BD-C80F-2E47-8DF3-A6F0FA55BE38}"/>
  <bookViews>
    <workbookView xWindow="2100" yWindow="720" windowWidth="38400" windowHeight="19580" xr2:uid="{812A13A4-8338-5F45-858D-135B6BA39B9E}"/>
  </bookViews>
  <sheets>
    <sheet name="NewsVendor(Normal)" sheetId="4" r:id="rId1"/>
    <sheet name="NewVendor(Poisson)" sheetId="1" r:id="rId2"/>
    <sheet name="NewVendorFunctions" sheetId="5" r:id="rId3"/>
    <sheet name="OUT(Norm)Temp" sheetId="6" r:id="rId4"/>
    <sheet name="OUT(Poisson)Temp" sheetId="7" r:id="rId5"/>
    <sheet name="OUTmodelFunctions" sheetId="8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4" l="1"/>
  <c r="H19" i="4"/>
  <c r="H17" i="4"/>
  <c r="B24" i="7"/>
  <c r="B18" i="7"/>
  <c r="B17" i="7"/>
  <c r="F14" i="7"/>
  <c r="B8" i="7"/>
  <c r="F41" i="6"/>
  <c r="B26" i="6"/>
  <c r="O22" i="6"/>
  <c r="B20" i="6"/>
  <c r="F17" i="6"/>
  <c r="B10" i="6"/>
  <c r="F14" i="6" s="1"/>
  <c r="B9" i="6"/>
  <c r="I5" i="6"/>
  <c r="I4" i="6"/>
  <c r="B10" i="4"/>
  <c r="B25" i="7"/>
  <c r="B12" i="7"/>
  <c r="F12" i="7"/>
  <c r="B14" i="6"/>
  <c r="B27" i="6"/>
  <c r="F15" i="6"/>
  <c r="F15" i="7" l="1"/>
  <c r="F13" i="7"/>
  <c r="F16" i="7"/>
  <c r="F17" i="7" s="1"/>
  <c r="F18" i="6"/>
  <c r="F16" i="6"/>
  <c r="F19" i="6"/>
  <c r="F20" i="6"/>
  <c r="B19" i="6"/>
  <c r="B21" i="6"/>
  <c r="B28" i="6"/>
  <c r="B15" i="6"/>
  <c r="B9" i="4" l="1"/>
  <c r="B20" i="1"/>
  <c r="E20" i="1"/>
  <c r="B26" i="4"/>
  <c r="B9" i="1"/>
  <c r="B23" i="1"/>
  <c r="B22" i="1"/>
  <c r="B25" i="1"/>
  <c r="B10" i="1"/>
  <c r="B16" i="1"/>
  <c r="E8" i="1"/>
  <c r="E8" i="4"/>
  <c r="B17" i="1" l="1"/>
  <c r="B11" i="4"/>
  <c r="B15" i="4" s="1"/>
  <c r="E9" i="4"/>
  <c r="B17" i="4"/>
  <c r="E17" i="4" l="1"/>
  <c r="B18" i="4"/>
  <c r="B20" i="4" s="1"/>
  <c r="E21" i="4"/>
  <c r="B16" i="4"/>
  <c r="B21" i="4" s="1"/>
  <c r="B19" i="1"/>
  <c r="B18" i="1"/>
  <c r="B26" i="1" s="1"/>
  <c r="B24" i="1"/>
  <c r="B19" i="4"/>
  <c r="B27" i="4" s="1"/>
  <c r="B30" i="4" l="1"/>
  <c r="B2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Cachon</author>
  </authors>
  <commentList>
    <comment ref="A14" authorId="0" shapeId="0" xr:uid="{CB47585B-E976-ED48-AADA-8A423FB9FAEA}">
      <text>
        <r>
          <rPr>
            <sz val="8"/>
            <color rgb="FF000000"/>
            <rFont val="Tahoma"/>
            <family val="2"/>
          </rPr>
          <t xml:space="preserve">Evaluate different performance measures for any given order quantity.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Cachon</author>
  </authors>
  <commentList>
    <comment ref="A14" authorId="0" shapeId="0" xr:uid="{92CED00C-AFFA-1145-A22D-CCBF154B7D3D}">
      <text>
        <r>
          <rPr>
            <sz val="8"/>
            <color indexed="81"/>
            <rFont val="Tahoma"/>
            <family val="2"/>
          </rPr>
          <t xml:space="preserve">Evaluate different performance measures for any given order quantity.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Cachon</author>
  </authors>
  <commentList>
    <comment ref="E12" authorId="0" shapeId="0" xr:uid="{69015938-C9EB-D842-8D9F-34A899D996E1}">
      <text>
        <r>
          <rPr>
            <sz val="8"/>
            <color indexed="81"/>
            <rFont val="Tahoma"/>
            <family val="2"/>
          </rPr>
          <t xml:space="preserve">Evaluate different performance measures for any given order up-to level.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Cachon</author>
  </authors>
  <commentList>
    <comment ref="E10" authorId="0" shapeId="0" xr:uid="{0D2C9DC6-199B-BF4A-AA77-BF8CD25148D6}">
      <text>
        <r>
          <rPr>
            <sz val="8"/>
            <color indexed="8"/>
            <rFont val="Tahoma"/>
            <family val="2"/>
          </rPr>
          <t xml:space="preserve">Evaluate different performance measures for any given order up-to level. </t>
        </r>
      </text>
    </comment>
  </commentList>
</comments>
</file>

<file path=xl/sharedStrings.xml><?xml version="1.0" encoding="utf-8"?>
<sst xmlns="http://schemas.openxmlformats.org/spreadsheetml/2006/main" count="200" uniqueCount="112">
  <si>
    <t>Optimal Order Quantity</t>
  </si>
  <si>
    <t>Performance Measures</t>
  </si>
  <si>
    <t>Stockout probability:</t>
  </si>
  <si>
    <t>Newsvendor model with Poisson distributed demand</t>
  </si>
  <si>
    <t>Q</t>
  </si>
  <si>
    <t>z</t>
  </si>
  <si>
    <t>Newsvendor model with normally distributed demand</t>
  </si>
  <si>
    <t>Maximum profit</t>
  </si>
  <si>
    <t>Mismatch cost</t>
  </si>
  <si>
    <t>Order quantity to achieve a target in-stock probability</t>
  </si>
  <si>
    <t>Target in-stock</t>
  </si>
  <si>
    <t>Expected profit</t>
  </si>
  <si>
    <t>Functions for evaluating the newsvendor and order up-to models</t>
  </si>
  <si>
    <t>lz(z)</t>
  </si>
  <si>
    <t>Return the standard normal loss function for the z-statistic z. Returns 4 significant digits.</t>
  </si>
  <si>
    <t xml:space="preserve">Phi(z ) </t>
  </si>
  <si>
    <t>Return Prob(D&lt;=z), where D is a standard normal. Returns 4 significant digits.</t>
  </si>
  <si>
    <t>loss_normal(q , mu , sigma )</t>
  </si>
  <si>
    <t>Return expected lost sales with a normal distribution</t>
  </si>
  <si>
    <t>loss_poisson(s, mu )</t>
  </si>
  <si>
    <t>Return expected lost sales with a Poisson distribution</t>
  </si>
  <si>
    <t>find_z(target)</t>
  </si>
  <si>
    <t>Return the z in the Standard Normal Distribution Function Table such that Phi(z) = target. Uses the round up rule.</t>
  </si>
  <si>
    <t>find_s_poisson(mu, target)</t>
  </si>
  <si>
    <t xml:space="preserve">Return the S in the Poisson Distribution Function Table such that F(S) = target. Uses the round-up rule. </t>
  </si>
  <si>
    <t xml:space="preserve">find_lz(target): </t>
  </si>
  <si>
    <t>Return the z in the Standard Normal Loss Function Table such that LZ(z) = target. Uses the round up rule.</t>
  </si>
  <si>
    <t>find_s_loss_poisson(mu , target )</t>
  </si>
  <si>
    <t xml:space="preserve">Return the S in the Poisson Loss Function Table such that L(S) = target. Uses the round-up rule. </t>
  </si>
  <si>
    <t>opt_order_normal(mu , sigma, co, cu)</t>
  </si>
  <si>
    <t>Return the quantity, Q, such that F(Q) = critical ratio = cu / (co+cu).</t>
  </si>
  <si>
    <t>sales(mu, loss)</t>
  </si>
  <si>
    <t>Return expected sales</t>
  </si>
  <si>
    <t>leftover(q , mu , loss )</t>
  </si>
  <si>
    <t>Return expected left over inventory</t>
  </si>
  <si>
    <t>profit(q , mu , loss , co , cu )</t>
  </si>
  <si>
    <t xml:space="preserve">Return expected profit </t>
  </si>
  <si>
    <t>fillrate(mu , loss )</t>
  </si>
  <si>
    <t>Return expected fill rate</t>
  </si>
  <si>
    <t>revenue(q , mu , loss , price , v )</t>
  </si>
  <si>
    <t>Return expected revenue</t>
  </si>
  <si>
    <t>Notation:</t>
  </si>
  <si>
    <t xml:space="preserve">q or s </t>
  </si>
  <si>
    <t>either an order quantity (q) or an order up-to level (s)</t>
  </si>
  <si>
    <t>mu</t>
  </si>
  <si>
    <t>mean of the distribution</t>
  </si>
  <si>
    <t xml:space="preserve">sigma </t>
  </si>
  <si>
    <t>standard deviation of the distribution</t>
  </si>
  <si>
    <t xml:space="preserve">z </t>
  </si>
  <si>
    <t>standard normal z-statistic</t>
  </si>
  <si>
    <t>co</t>
  </si>
  <si>
    <t>overage cost</t>
  </si>
  <si>
    <t xml:space="preserve">cu </t>
  </si>
  <si>
    <t>underage cost</t>
  </si>
  <si>
    <t>v</t>
  </si>
  <si>
    <t xml:space="preserve">salvage value </t>
  </si>
  <si>
    <t>Instock Prob</t>
  </si>
  <si>
    <t>Instock Probability</t>
  </si>
  <si>
    <t>L(z)</t>
  </si>
  <si>
    <t>Revenue</t>
  </si>
  <si>
    <r>
      <t xml:space="preserve">Inputs are in </t>
    </r>
    <r>
      <rPr>
        <sz val="18"/>
        <color indexed="10"/>
        <rFont val="Arial"/>
        <family val="2"/>
      </rPr>
      <t>red</t>
    </r>
    <r>
      <rPr>
        <sz val="18"/>
        <rFont val="Arial"/>
        <family val="2"/>
      </rPr>
      <t>, outputs in black</t>
    </r>
  </si>
  <si>
    <r>
      <t xml:space="preserve">Mean demand, </t>
    </r>
    <r>
      <rPr>
        <sz val="18"/>
        <color indexed="10"/>
        <rFont val="Symbol"/>
        <family val="1"/>
        <charset val="2"/>
      </rPr>
      <t>m</t>
    </r>
    <r>
      <rPr>
        <sz val="18"/>
        <color indexed="10"/>
        <rFont val="Arial"/>
        <family val="2"/>
      </rPr>
      <t xml:space="preserve"> :</t>
    </r>
  </si>
  <si>
    <r>
      <t xml:space="preserve">Overage penalty, </t>
    </r>
    <r>
      <rPr>
        <i/>
        <sz val="18"/>
        <color indexed="10"/>
        <rFont val="Arial"/>
        <family val="2"/>
      </rPr>
      <t>C</t>
    </r>
    <r>
      <rPr>
        <i/>
        <vertAlign val="subscript"/>
        <sz val="18"/>
        <color indexed="10"/>
        <rFont val="Arial"/>
        <family val="2"/>
      </rPr>
      <t>o</t>
    </r>
    <r>
      <rPr>
        <i/>
        <sz val="18"/>
        <color indexed="10"/>
        <rFont val="Arial"/>
        <family val="2"/>
      </rPr>
      <t xml:space="preserve"> </t>
    </r>
    <r>
      <rPr>
        <sz val="18"/>
        <color indexed="10"/>
        <rFont val="Arial"/>
        <family val="2"/>
      </rPr>
      <t>:</t>
    </r>
  </si>
  <si>
    <r>
      <t>Underage penalty,</t>
    </r>
    <r>
      <rPr>
        <i/>
        <sz val="18"/>
        <color indexed="10"/>
        <rFont val="Arial"/>
        <family val="2"/>
      </rPr>
      <t xml:space="preserve"> C</t>
    </r>
    <r>
      <rPr>
        <i/>
        <vertAlign val="subscript"/>
        <sz val="18"/>
        <color indexed="10"/>
        <rFont val="Arial"/>
        <family val="2"/>
      </rPr>
      <t>u</t>
    </r>
    <r>
      <rPr>
        <i/>
        <sz val="18"/>
        <color indexed="10"/>
        <rFont val="Arial"/>
        <family val="2"/>
      </rPr>
      <t xml:space="preserve"> </t>
    </r>
    <r>
      <rPr>
        <sz val="18"/>
        <color indexed="10"/>
        <rFont val="Arial"/>
        <family val="2"/>
      </rPr>
      <t>:</t>
    </r>
  </si>
  <si>
    <r>
      <t xml:space="preserve">Critical ratio: </t>
    </r>
    <r>
      <rPr>
        <i/>
        <sz val="18"/>
        <rFont val="Arial"/>
        <family val="2"/>
      </rPr>
      <t>C</t>
    </r>
    <r>
      <rPr>
        <i/>
        <vertAlign val="subscript"/>
        <sz val="18"/>
        <rFont val="Arial"/>
        <family val="2"/>
      </rPr>
      <t>u</t>
    </r>
    <r>
      <rPr>
        <i/>
        <sz val="18"/>
        <rFont val="Arial"/>
        <family val="2"/>
      </rPr>
      <t xml:space="preserve"> </t>
    </r>
    <r>
      <rPr>
        <sz val="18"/>
        <rFont val="Arial"/>
        <family val="2"/>
      </rPr>
      <t>/ (</t>
    </r>
    <r>
      <rPr>
        <i/>
        <sz val="18"/>
        <rFont val="Arial"/>
        <family val="2"/>
      </rPr>
      <t>C</t>
    </r>
    <r>
      <rPr>
        <i/>
        <vertAlign val="subscript"/>
        <sz val="18"/>
        <rFont val="Arial"/>
        <family val="2"/>
      </rPr>
      <t>o</t>
    </r>
    <r>
      <rPr>
        <i/>
        <sz val="18"/>
        <rFont val="Arial"/>
        <family val="2"/>
      </rPr>
      <t xml:space="preserve"> </t>
    </r>
    <r>
      <rPr>
        <sz val="18"/>
        <rFont val="Arial"/>
        <family val="2"/>
      </rPr>
      <t xml:space="preserve">+ </t>
    </r>
    <r>
      <rPr>
        <i/>
        <sz val="18"/>
        <rFont val="Arial"/>
        <family val="2"/>
      </rPr>
      <t>C</t>
    </r>
    <r>
      <rPr>
        <i/>
        <vertAlign val="subscript"/>
        <sz val="18"/>
        <rFont val="Arial"/>
        <family val="2"/>
      </rPr>
      <t>u</t>
    </r>
    <r>
      <rPr>
        <sz val="18"/>
        <rFont val="Arial"/>
        <family val="2"/>
      </rPr>
      <t>)</t>
    </r>
  </si>
  <si>
    <r>
      <t xml:space="preserve">Order quantity, </t>
    </r>
    <r>
      <rPr>
        <i/>
        <sz val="18"/>
        <color indexed="10"/>
        <rFont val="Arial"/>
        <family val="2"/>
      </rPr>
      <t xml:space="preserve">Q </t>
    </r>
    <r>
      <rPr>
        <sz val="18"/>
        <color indexed="10"/>
        <rFont val="Arial"/>
        <family val="2"/>
      </rPr>
      <t>:</t>
    </r>
  </si>
  <si>
    <r>
      <t xml:space="preserve">Standard Normal order quantity, </t>
    </r>
    <r>
      <rPr>
        <i/>
        <sz val="18"/>
        <rFont val="Arial"/>
        <family val="2"/>
      </rPr>
      <t xml:space="preserve">z </t>
    </r>
    <r>
      <rPr>
        <sz val="18"/>
        <rFont val="Arial"/>
        <family val="2"/>
      </rPr>
      <t>:</t>
    </r>
  </si>
  <si>
    <r>
      <t xml:space="preserve">Expected Lost Sales, </t>
    </r>
    <r>
      <rPr>
        <i/>
        <sz val="18"/>
        <rFont val="Arial"/>
        <family val="2"/>
      </rPr>
      <t xml:space="preserve">L(Q) </t>
    </r>
    <r>
      <rPr>
        <sz val="18"/>
        <rFont val="Arial"/>
        <family val="2"/>
      </rPr>
      <t>:</t>
    </r>
  </si>
  <si>
    <r>
      <t xml:space="preserve">Expected Sales, </t>
    </r>
    <r>
      <rPr>
        <i/>
        <sz val="18"/>
        <rFont val="Arial"/>
        <family val="2"/>
      </rPr>
      <t>S(Q) :</t>
    </r>
  </si>
  <si>
    <r>
      <t xml:space="preserve">Expected Left Over Inventory, </t>
    </r>
    <r>
      <rPr>
        <i/>
        <sz val="18"/>
        <rFont val="Arial"/>
        <family val="2"/>
      </rPr>
      <t>V(Q)</t>
    </r>
    <r>
      <rPr>
        <sz val="18"/>
        <rFont val="Arial"/>
        <family val="2"/>
      </rPr>
      <t xml:space="preserve"> :</t>
    </r>
  </si>
  <si>
    <r>
      <t xml:space="preserve">Fill rate, </t>
    </r>
    <r>
      <rPr>
        <i/>
        <sz val="18"/>
        <rFont val="Arial"/>
        <family val="2"/>
      </rPr>
      <t>f</t>
    </r>
    <r>
      <rPr>
        <sz val="18"/>
        <rFont val="Arial"/>
        <family val="2"/>
      </rPr>
      <t xml:space="preserve"> :</t>
    </r>
  </si>
  <si>
    <r>
      <t xml:space="preserve">Inputs are in </t>
    </r>
    <r>
      <rPr>
        <sz val="20"/>
        <color indexed="10"/>
        <rFont val="Arial"/>
        <family val="2"/>
      </rPr>
      <t>red</t>
    </r>
    <r>
      <rPr>
        <sz val="20"/>
        <rFont val="Arial"/>
        <family val="2"/>
      </rPr>
      <t>, outputs in black</t>
    </r>
  </si>
  <si>
    <r>
      <t xml:space="preserve">Mean demand, </t>
    </r>
    <r>
      <rPr>
        <sz val="20"/>
        <color indexed="10"/>
        <rFont val="Symbol"/>
        <family val="1"/>
        <charset val="2"/>
      </rPr>
      <t>m</t>
    </r>
    <r>
      <rPr>
        <sz val="20"/>
        <color indexed="10"/>
        <rFont val="Arial"/>
        <family val="2"/>
      </rPr>
      <t xml:space="preserve"> :</t>
    </r>
  </si>
  <si>
    <r>
      <t xml:space="preserve">Standard deviation of demand, </t>
    </r>
    <r>
      <rPr>
        <sz val="20"/>
        <color indexed="10"/>
        <rFont val="Symbol"/>
        <family val="1"/>
        <charset val="2"/>
      </rPr>
      <t>s</t>
    </r>
    <r>
      <rPr>
        <sz val="20"/>
        <color indexed="10"/>
        <rFont val="Arial"/>
        <family val="2"/>
      </rPr>
      <t xml:space="preserve"> :</t>
    </r>
  </si>
  <si>
    <r>
      <t xml:space="preserve">Overage penalty, </t>
    </r>
    <r>
      <rPr>
        <i/>
        <sz val="20"/>
        <color indexed="10"/>
        <rFont val="Arial"/>
        <family val="2"/>
      </rPr>
      <t>C</t>
    </r>
    <r>
      <rPr>
        <i/>
        <vertAlign val="subscript"/>
        <sz val="20"/>
        <color indexed="10"/>
        <rFont val="Arial"/>
        <family val="2"/>
      </rPr>
      <t>o</t>
    </r>
    <r>
      <rPr>
        <i/>
        <sz val="20"/>
        <color indexed="10"/>
        <rFont val="Arial"/>
        <family val="2"/>
      </rPr>
      <t xml:space="preserve"> </t>
    </r>
    <r>
      <rPr>
        <sz val="20"/>
        <color indexed="10"/>
        <rFont val="Arial"/>
        <family val="2"/>
      </rPr>
      <t>:</t>
    </r>
  </si>
  <si>
    <r>
      <t>Underage penalty,</t>
    </r>
    <r>
      <rPr>
        <i/>
        <sz val="20"/>
        <color indexed="10"/>
        <rFont val="Arial"/>
        <family val="2"/>
      </rPr>
      <t xml:space="preserve"> C</t>
    </r>
    <r>
      <rPr>
        <i/>
        <vertAlign val="subscript"/>
        <sz val="20"/>
        <color indexed="10"/>
        <rFont val="Arial"/>
        <family val="2"/>
      </rPr>
      <t>u</t>
    </r>
    <r>
      <rPr>
        <i/>
        <sz val="20"/>
        <color indexed="10"/>
        <rFont val="Arial"/>
        <family val="2"/>
      </rPr>
      <t xml:space="preserve"> </t>
    </r>
    <r>
      <rPr>
        <sz val="20"/>
        <color indexed="10"/>
        <rFont val="Arial"/>
        <family val="2"/>
      </rPr>
      <t>:</t>
    </r>
  </si>
  <si>
    <r>
      <t xml:space="preserve">Critical ratio: </t>
    </r>
    <r>
      <rPr>
        <i/>
        <sz val="20"/>
        <rFont val="Arial"/>
        <family val="2"/>
      </rPr>
      <t>C</t>
    </r>
    <r>
      <rPr>
        <i/>
        <vertAlign val="subscript"/>
        <sz val="20"/>
        <rFont val="Arial"/>
        <family val="2"/>
      </rPr>
      <t>u</t>
    </r>
    <r>
      <rPr>
        <i/>
        <sz val="20"/>
        <rFont val="Arial"/>
        <family val="2"/>
      </rPr>
      <t xml:space="preserve"> </t>
    </r>
    <r>
      <rPr>
        <sz val="20"/>
        <rFont val="Arial"/>
        <family val="2"/>
      </rPr>
      <t>/ (</t>
    </r>
    <r>
      <rPr>
        <i/>
        <sz val="20"/>
        <rFont val="Arial"/>
        <family val="2"/>
      </rPr>
      <t>C</t>
    </r>
    <r>
      <rPr>
        <i/>
        <vertAlign val="subscript"/>
        <sz val="20"/>
        <rFont val="Arial"/>
        <family val="2"/>
      </rPr>
      <t>o</t>
    </r>
    <r>
      <rPr>
        <i/>
        <sz val="20"/>
        <rFont val="Arial"/>
        <family val="2"/>
      </rPr>
      <t xml:space="preserve"> </t>
    </r>
    <r>
      <rPr>
        <sz val="20"/>
        <rFont val="Arial"/>
        <family val="2"/>
      </rPr>
      <t xml:space="preserve">+ </t>
    </r>
    <r>
      <rPr>
        <i/>
        <sz val="20"/>
        <rFont val="Arial"/>
        <family val="2"/>
      </rPr>
      <t>C</t>
    </r>
    <r>
      <rPr>
        <i/>
        <vertAlign val="subscript"/>
        <sz val="20"/>
        <rFont val="Arial"/>
        <family val="2"/>
      </rPr>
      <t>u</t>
    </r>
    <r>
      <rPr>
        <sz val="20"/>
        <rFont val="Arial"/>
        <family val="2"/>
      </rPr>
      <t>)</t>
    </r>
  </si>
  <si>
    <r>
      <t xml:space="preserve">Order quantity, </t>
    </r>
    <r>
      <rPr>
        <i/>
        <sz val="20"/>
        <color indexed="10"/>
        <rFont val="Arial"/>
        <family val="2"/>
      </rPr>
      <t xml:space="preserve">Q </t>
    </r>
    <r>
      <rPr>
        <sz val="20"/>
        <color indexed="10"/>
        <rFont val="Arial"/>
        <family val="2"/>
      </rPr>
      <t>:</t>
    </r>
  </si>
  <si>
    <r>
      <t xml:space="preserve">Standard Normal order quantity, </t>
    </r>
    <r>
      <rPr>
        <i/>
        <sz val="20"/>
        <rFont val="Arial"/>
        <family val="2"/>
      </rPr>
      <t xml:space="preserve">z </t>
    </r>
    <r>
      <rPr>
        <sz val="20"/>
        <rFont val="Arial"/>
        <family val="2"/>
      </rPr>
      <t>:</t>
    </r>
  </si>
  <si>
    <r>
      <t xml:space="preserve">Expected Lost Sales, </t>
    </r>
    <r>
      <rPr>
        <i/>
        <sz val="20"/>
        <rFont val="Arial"/>
        <family val="2"/>
      </rPr>
      <t xml:space="preserve">L(Q) </t>
    </r>
    <r>
      <rPr>
        <sz val="20"/>
        <rFont val="Arial"/>
        <family val="2"/>
      </rPr>
      <t>:</t>
    </r>
  </si>
  <si>
    <r>
      <t xml:space="preserve">Expected Sales, </t>
    </r>
    <r>
      <rPr>
        <i/>
        <sz val="20"/>
        <rFont val="Arial"/>
        <family val="2"/>
      </rPr>
      <t>S(Q) :</t>
    </r>
  </si>
  <si>
    <r>
      <t xml:space="preserve">Expected Left Over Inventory, </t>
    </r>
    <r>
      <rPr>
        <i/>
        <sz val="20"/>
        <rFont val="Arial"/>
        <family val="2"/>
      </rPr>
      <t>V(Q)</t>
    </r>
    <r>
      <rPr>
        <sz val="20"/>
        <rFont val="Arial"/>
        <family val="2"/>
      </rPr>
      <t xml:space="preserve"> :</t>
    </r>
  </si>
  <si>
    <r>
      <t xml:space="preserve">Fill rate, </t>
    </r>
    <r>
      <rPr>
        <i/>
        <sz val="20"/>
        <rFont val="Arial"/>
        <family val="2"/>
      </rPr>
      <t>f</t>
    </r>
    <r>
      <rPr>
        <sz val="20"/>
        <rFont val="Arial"/>
        <family val="2"/>
      </rPr>
      <t xml:space="preserve"> :</t>
    </r>
  </si>
  <si>
    <t>Order up-to model with normally distributed demand</t>
  </si>
  <si>
    <t xml:space="preserve">Lead time (number of periods) </t>
  </si>
  <si>
    <t>Single period demand:</t>
  </si>
  <si>
    <t xml:space="preserve">     Mean</t>
  </si>
  <si>
    <t xml:space="preserve">     Standard deviation</t>
  </si>
  <si>
    <r>
      <t>m</t>
    </r>
    <r>
      <rPr>
        <sz val="18"/>
        <rFont val="Arial"/>
        <family val="2"/>
      </rPr>
      <t xml:space="preserve"> (mean demand over </t>
    </r>
    <r>
      <rPr>
        <i/>
        <sz val="18"/>
        <rFont val="Arial"/>
        <family val="2"/>
      </rPr>
      <t>l</t>
    </r>
    <r>
      <rPr>
        <sz val="18"/>
        <rFont val="Arial"/>
        <family val="2"/>
      </rPr>
      <t>+1 periods)</t>
    </r>
  </si>
  <si>
    <r>
      <t>s</t>
    </r>
    <r>
      <rPr>
        <sz val="18"/>
        <rFont val="Arial"/>
        <family val="2"/>
      </rPr>
      <t xml:space="preserve"> (std. dev. demand over </t>
    </r>
    <r>
      <rPr>
        <i/>
        <sz val="18"/>
        <rFont val="Arial"/>
        <family val="2"/>
      </rPr>
      <t>l</t>
    </r>
    <r>
      <rPr>
        <sz val="18"/>
        <rFont val="Arial"/>
        <family val="2"/>
      </rPr>
      <t>+1 periods)</t>
    </r>
  </si>
  <si>
    <t>Order up-to level to achieve a target in-stock probability</t>
  </si>
  <si>
    <r>
      <t xml:space="preserve">Order up-to level, </t>
    </r>
    <r>
      <rPr>
        <i/>
        <sz val="18"/>
        <color indexed="10"/>
        <rFont val="Arial"/>
        <family val="2"/>
      </rPr>
      <t>S</t>
    </r>
  </si>
  <si>
    <t xml:space="preserve">S   </t>
  </si>
  <si>
    <r>
      <t xml:space="preserve">Expected backorder, </t>
    </r>
    <r>
      <rPr>
        <i/>
        <sz val="18"/>
        <rFont val="Arial"/>
        <family val="2"/>
      </rPr>
      <t xml:space="preserve">L(S) </t>
    </r>
    <r>
      <rPr>
        <sz val="18"/>
        <rFont val="Arial"/>
        <family val="2"/>
      </rPr>
      <t>:</t>
    </r>
  </si>
  <si>
    <t>Expected (end of period) inventory :</t>
  </si>
  <si>
    <t>Order up-to level to achieve a target fill rate</t>
  </si>
  <si>
    <t>Expected pipeline inventory:</t>
  </si>
  <si>
    <t>Target fill rate</t>
  </si>
  <si>
    <t>Target lost sales</t>
  </si>
  <si>
    <t>In-stock probability:</t>
  </si>
  <si>
    <t>S</t>
  </si>
  <si>
    <t>Order up-to level to minimize holding and backorder costs</t>
  </si>
  <si>
    <r>
      <t>h</t>
    </r>
    <r>
      <rPr>
        <sz val="18"/>
        <color indexed="10"/>
        <rFont val="Arial"/>
        <family val="2"/>
      </rPr>
      <t>, holding cost per unit per period</t>
    </r>
  </si>
  <si>
    <r>
      <t>b</t>
    </r>
    <r>
      <rPr>
        <sz val="18"/>
        <color indexed="10"/>
        <rFont val="Arial"/>
        <family val="2"/>
      </rPr>
      <t>, backorder cost per unit</t>
    </r>
  </si>
  <si>
    <r>
      <t xml:space="preserve">Critical ratio: </t>
    </r>
    <r>
      <rPr>
        <i/>
        <sz val="18"/>
        <rFont val="Arial"/>
        <family val="2"/>
      </rPr>
      <t xml:space="preserve">b </t>
    </r>
    <r>
      <rPr>
        <sz val="18"/>
        <rFont val="Arial"/>
        <family val="2"/>
      </rPr>
      <t>/ (</t>
    </r>
    <r>
      <rPr>
        <i/>
        <sz val="18"/>
        <rFont val="Arial"/>
        <family val="2"/>
      </rPr>
      <t xml:space="preserve">h </t>
    </r>
    <r>
      <rPr>
        <sz val="18"/>
        <rFont val="Arial"/>
        <family val="2"/>
      </rPr>
      <t xml:space="preserve">+ </t>
    </r>
    <r>
      <rPr>
        <i/>
        <sz val="18"/>
        <rFont val="Arial"/>
        <family val="2"/>
      </rPr>
      <t>b</t>
    </r>
    <r>
      <rPr>
        <sz val="18"/>
        <rFont val="Arial"/>
        <family val="2"/>
      </rPr>
      <t>)</t>
    </r>
  </si>
  <si>
    <t>Order up-to model with Poisson distributed demand</t>
  </si>
  <si>
    <r>
      <t>m</t>
    </r>
    <r>
      <rPr>
        <sz val="20"/>
        <rFont val="Arial"/>
        <family val="2"/>
      </rPr>
      <t xml:space="preserve"> (mean demand over </t>
    </r>
    <r>
      <rPr>
        <i/>
        <sz val="20"/>
        <rFont val="Arial"/>
        <family val="2"/>
      </rPr>
      <t>l</t>
    </r>
    <r>
      <rPr>
        <sz val="20"/>
        <rFont val="Arial"/>
        <family val="2"/>
      </rPr>
      <t>+1 periods)</t>
    </r>
  </si>
  <si>
    <r>
      <t xml:space="preserve">Order up-to level, </t>
    </r>
    <r>
      <rPr>
        <i/>
        <sz val="20"/>
        <color indexed="10"/>
        <rFont val="Arial"/>
        <family val="2"/>
      </rPr>
      <t>S</t>
    </r>
  </si>
  <si>
    <r>
      <t xml:space="preserve">Expected backorder, </t>
    </r>
    <r>
      <rPr>
        <i/>
        <sz val="20"/>
        <rFont val="Arial"/>
        <family val="2"/>
      </rPr>
      <t xml:space="preserve">L(S) </t>
    </r>
    <r>
      <rPr>
        <sz val="20"/>
        <rFont val="Arial"/>
        <family val="2"/>
      </rPr>
      <t>:</t>
    </r>
  </si>
  <si>
    <r>
      <t>h</t>
    </r>
    <r>
      <rPr>
        <sz val="20"/>
        <color indexed="10"/>
        <rFont val="Arial"/>
        <family val="2"/>
      </rPr>
      <t>, holding cost per unit per period</t>
    </r>
  </si>
  <si>
    <r>
      <t>b</t>
    </r>
    <r>
      <rPr>
        <sz val="20"/>
        <color indexed="10"/>
        <rFont val="Arial"/>
        <family val="2"/>
      </rPr>
      <t>, backorder cost per unit</t>
    </r>
  </si>
  <si>
    <r>
      <t xml:space="preserve">Critical ratio: </t>
    </r>
    <r>
      <rPr>
        <i/>
        <sz val="20"/>
        <rFont val="Arial"/>
        <family val="2"/>
      </rPr>
      <t xml:space="preserve">b </t>
    </r>
    <r>
      <rPr>
        <sz val="20"/>
        <rFont val="Arial"/>
        <family val="2"/>
      </rPr>
      <t>/ (</t>
    </r>
    <r>
      <rPr>
        <i/>
        <sz val="20"/>
        <rFont val="Arial"/>
        <family val="2"/>
      </rPr>
      <t xml:space="preserve">h </t>
    </r>
    <r>
      <rPr>
        <sz val="20"/>
        <rFont val="Arial"/>
        <family val="2"/>
      </rPr>
      <t xml:space="preserve">+ </t>
    </r>
    <r>
      <rPr>
        <i/>
        <sz val="20"/>
        <rFont val="Arial"/>
        <family val="2"/>
      </rPr>
      <t>b</t>
    </r>
    <r>
      <rPr>
        <sz val="20"/>
        <rFont val="Arial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</si>
</sst>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"/>
    <numFmt numFmtId="165" formatCode="0.0000"/>
    <numFmt numFmtId="166" formatCode="0.000"/>
    <numFmt numFmtId="167" formatCode="0.0%"/>
    <numFmt numFmtId="175" formatCode="0.0"/>
    <numFmt numFmtId="179" formatCode="0.000%"/>
    <numFmt numFmtId="181" formatCode="_____00000"/>
  </numFmts>
  <fonts count="25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color indexed="81"/>
      <name val="Tahoma"/>
      <family val="2"/>
    </font>
    <font>
      <b/>
      <sz val="18"/>
      <name val="Arial"/>
      <family val="2"/>
    </font>
    <font>
      <sz val="18"/>
      <name val="Arial"/>
      <family val="2"/>
    </font>
    <font>
      <i/>
      <sz val="18"/>
      <name val="Arial"/>
      <family val="2"/>
    </font>
    <font>
      <sz val="18"/>
      <color indexed="10"/>
      <name val="Arial"/>
      <family val="2"/>
    </font>
    <font>
      <sz val="18"/>
      <color indexed="10"/>
      <name val="Symbol"/>
      <family val="1"/>
      <charset val="2"/>
    </font>
    <font>
      <b/>
      <i/>
      <sz val="18"/>
      <name val="Arial"/>
      <family val="2"/>
    </font>
    <font>
      <i/>
      <sz val="18"/>
      <color indexed="10"/>
      <name val="Arial"/>
      <family val="2"/>
    </font>
    <font>
      <i/>
      <vertAlign val="subscript"/>
      <sz val="18"/>
      <color indexed="10"/>
      <name val="Arial"/>
      <family val="2"/>
    </font>
    <font>
      <i/>
      <vertAlign val="subscript"/>
      <sz val="18"/>
      <name val="Arial"/>
      <family val="2"/>
    </font>
    <font>
      <sz val="20"/>
      <name val="Arial"/>
      <family val="2"/>
    </font>
    <font>
      <sz val="20"/>
      <color indexed="10"/>
      <name val="Arial"/>
      <family val="2"/>
    </font>
    <font>
      <sz val="20"/>
      <color indexed="10"/>
      <name val="Symbol"/>
      <family val="1"/>
      <charset val="2"/>
    </font>
    <font>
      <b/>
      <i/>
      <sz val="20"/>
      <name val="Arial"/>
      <family val="2"/>
    </font>
    <font>
      <i/>
      <sz val="20"/>
      <color indexed="10"/>
      <name val="Arial"/>
      <family val="2"/>
    </font>
    <font>
      <i/>
      <vertAlign val="subscript"/>
      <sz val="20"/>
      <color indexed="10"/>
      <name val="Arial"/>
      <family val="2"/>
    </font>
    <font>
      <i/>
      <sz val="20"/>
      <name val="Arial"/>
      <family val="2"/>
    </font>
    <font>
      <i/>
      <vertAlign val="subscript"/>
      <sz val="20"/>
      <name val="Arial"/>
      <family val="2"/>
    </font>
    <font>
      <sz val="8"/>
      <color rgb="FF000000"/>
      <name val="Tahoma"/>
      <family val="2"/>
    </font>
    <font>
      <sz val="18"/>
      <name val="Symbol"/>
      <family val="1"/>
      <charset val="2"/>
    </font>
    <font>
      <sz val="20"/>
      <name val="Symbol"/>
      <family val="1"/>
      <charset val="2"/>
    </font>
    <font>
      <sz val="8"/>
      <color indexed="8"/>
      <name val="Tahoma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96">
    <xf numFmtId="0" fontId="0" fillId="0" borderId="0" xfId="0"/>
    <xf numFmtId="0" fontId="4" fillId="0" borderId="1" xfId="0" applyFont="1" applyBorder="1"/>
    <xf numFmtId="0" fontId="5" fillId="0" borderId="1" xfId="0" applyFont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0" borderId="0" xfId="0" applyFont="1" applyAlignment="1">
      <alignment wrapText="1"/>
    </xf>
    <xf numFmtId="0" fontId="9" fillId="0" borderId="1" xfId="0" applyFont="1" applyBorder="1"/>
    <xf numFmtId="165" fontId="7" fillId="0" borderId="0" xfId="0" applyNumberFormat="1" applyFont="1"/>
    <xf numFmtId="1" fontId="7" fillId="0" borderId="0" xfId="0" applyNumberFormat="1" applyFont="1"/>
    <xf numFmtId="165" fontId="5" fillId="0" borderId="0" xfId="0" applyNumberFormat="1" applyFont="1"/>
    <xf numFmtId="2" fontId="5" fillId="0" borderId="0" xfId="0" applyNumberFormat="1" applyFont="1"/>
    <xf numFmtId="175" fontId="5" fillId="0" borderId="0" xfId="0" applyNumberFormat="1" applyFont="1"/>
    <xf numFmtId="9" fontId="7" fillId="0" borderId="0" xfId="0" applyNumberFormat="1" applyFont="1"/>
    <xf numFmtId="0" fontId="5" fillId="0" borderId="0" xfId="0" applyFont="1" applyBorder="1"/>
    <xf numFmtId="165" fontId="5" fillId="0" borderId="0" xfId="0" applyNumberFormat="1" applyFont="1" applyBorder="1"/>
    <xf numFmtId="166" fontId="5" fillId="0" borderId="0" xfId="0" applyNumberFormat="1" applyFont="1"/>
    <xf numFmtId="10" fontId="5" fillId="0" borderId="0" xfId="1" applyNumberFormat="1" applyFont="1"/>
    <xf numFmtId="1" fontId="5" fillId="0" borderId="0" xfId="0" applyNumberFormat="1" applyFont="1"/>
    <xf numFmtId="10" fontId="5" fillId="0" borderId="0" xfId="0" applyNumberFormat="1" applyFont="1"/>
    <xf numFmtId="0" fontId="13" fillId="0" borderId="2" xfId="0" applyFont="1" applyBorder="1"/>
    <xf numFmtId="0" fontId="13" fillId="0" borderId="0" xfId="0" applyFont="1"/>
    <xf numFmtId="0" fontId="14" fillId="0" borderId="0" xfId="0" applyFont="1"/>
    <xf numFmtId="0" fontId="13" fillId="0" borderId="0" xfId="0" applyFont="1" applyAlignment="1">
      <alignment wrapText="1"/>
    </xf>
    <xf numFmtId="0" fontId="16" fillId="0" borderId="1" xfId="0" applyFont="1" applyBorder="1"/>
    <xf numFmtId="0" fontId="13" fillId="0" borderId="1" xfId="0" applyFont="1" applyBorder="1"/>
    <xf numFmtId="165" fontId="14" fillId="0" borderId="0" xfId="0" applyNumberFormat="1" applyFont="1"/>
    <xf numFmtId="1" fontId="14" fillId="0" borderId="0" xfId="0" applyNumberFormat="1" applyFont="1"/>
    <xf numFmtId="165" fontId="13" fillId="0" borderId="0" xfId="0" applyNumberFormat="1" applyFont="1"/>
    <xf numFmtId="2" fontId="13" fillId="0" borderId="0" xfId="0" applyNumberFormat="1" applyFont="1"/>
    <xf numFmtId="175" fontId="13" fillId="0" borderId="0" xfId="0" applyNumberFormat="1" applyFont="1"/>
    <xf numFmtId="9" fontId="14" fillId="0" borderId="0" xfId="0" applyNumberFormat="1" applyFont="1"/>
    <xf numFmtId="0" fontId="13" fillId="0" borderId="0" xfId="0" applyFont="1" applyBorder="1"/>
    <xf numFmtId="165" fontId="13" fillId="0" borderId="0" xfId="0" applyNumberFormat="1" applyFont="1" applyBorder="1"/>
    <xf numFmtId="166" fontId="13" fillId="0" borderId="0" xfId="0" applyNumberFormat="1" applyFont="1"/>
    <xf numFmtId="10" fontId="13" fillId="0" borderId="0" xfId="1" applyNumberFormat="1" applyFont="1"/>
    <xf numFmtId="1" fontId="13" fillId="0" borderId="0" xfId="0" applyNumberFormat="1" applyFont="1"/>
    <xf numFmtId="179" fontId="13" fillId="0" borderId="0" xfId="1" applyNumberFormat="1" applyFont="1"/>
    <xf numFmtId="10" fontId="13" fillId="0" borderId="0" xfId="0" applyNumberFormat="1" applyFont="1"/>
    <xf numFmtId="167" fontId="13" fillId="0" borderId="0" xfId="1" applyNumberFormat="1" applyFont="1"/>
    <xf numFmtId="9" fontId="13" fillId="0" borderId="0" xfId="0" applyNumberFormat="1" applyFont="1"/>
    <xf numFmtId="164" fontId="5" fillId="0" borderId="0" xfId="0" applyNumberFormat="1" applyFont="1"/>
    <xf numFmtId="175" fontId="5" fillId="0" borderId="0" xfId="0" applyNumberFormat="1" applyFont="1" applyBorder="1"/>
    <xf numFmtId="10" fontId="5" fillId="0" borderId="0" xfId="1" applyNumberFormat="1" applyFont="1" applyBorder="1"/>
    <xf numFmtId="1" fontId="5" fillId="0" borderId="0" xfId="0" applyNumberFormat="1" applyFont="1" applyBorder="1"/>
    <xf numFmtId="2" fontId="14" fillId="0" borderId="0" xfId="0" applyNumberFormat="1" applyFont="1"/>
    <xf numFmtId="2" fontId="13" fillId="0" borderId="0" xfId="0" applyNumberFormat="1" applyFont="1" applyAlignment="1">
      <alignment horizontal="center"/>
    </xf>
    <xf numFmtId="0" fontId="5" fillId="0" borderId="2" xfId="2" applyFont="1" applyBorder="1"/>
    <xf numFmtId="0" fontId="5" fillId="0" borderId="0" xfId="2" applyFont="1"/>
    <xf numFmtId="0" fontId="7" fillId="0" borderId="0" xfId="2" applyFont="1"/>
    <xf numFmtId="0" fontId="5" fillId="0" borderId="0" xfId="2" applyFont="1" applyAlignment="1">
      <alignment wrapText="1"/>
    </xf>
    <xf numFmtId="181" fontId="7" fillId="0" borderId="0" xfId="2" applyNumberFormat="1" applyFont="1" applyAlignment="1">
      <alignment horizontal="left"/>
    </xf>
    <xf numFmtId="181" fontId="7" fillId="0" borderId="0" xfId="2" applyNumberFormat="1" applyFont="1" applyAlignment="1">
      <alignment horizontal="right"/>
    </xf>
    <xf numFmtId="0" fontId="22" fillId="0" borderId="0" xfId="2" applyFont="1"/>
    <xf numFmtId="1" fontId="5" fillId="0" borderId="0" xfId="2" applyNumberFormat="1" applyFont="1"/>
    <xf numFmtId="1" fontId="7" fillId="0" borderId="0" xfId="2" applyNumberFormat="1" applyFont="1"/>
    <xf numFmtId="0" fontId="9" fillId="0" borderId="1" xfId="2" applyFont="1" applyBorder="1"/>
    <xf numFmtId="0" fontId="5" fillId="0" borderId="1" xfId="2" applyFont="1" applyBorder="1"/>
    <xf numFmtId="165" fontId="7" fillId="0" borderId="0" xfId="2" applyNumberFormat="1" applyFont="1"/>
    <xf numFmtId="10" fontId="7" fillId="0" borderId="0" xfId="3" applyNumberFormat="1" applyFont="1"/>
    <xf numFmtId="165" fontId="5" fillId="0" borderId="0" xfId="2" applyNumberFormat="1" applyFont="1"/>
    <xf numFmtId="2" fontId="5" fillId="0" borderId="0" xfId="2" applyNumberFormat="1" applyFont="1"/>
    <xf numFmtId="175" fontId="5" fillId="0" borderId="0" xfId="2" applyNumberFormat="1" applyFont="1"/>
    <xf numFmtId="0" fontId="6" fillId="0" borderId="0" xfId="2" applyFont="1"/>
    <xf numFmtId="10" fontId="7" fillId="0" borderId="0" xfId="2" applyNumberFormat="1" applyFont="1"/>
    <xf numFmtId="10" fontId="5" fillId="0" borderId="0" xfId="3" applyNumberFormat="1" applyFont="1"/>
    <xf numFmtId="166" fontId="5" fillId="0" borderId="0" xfId="2" applyNumberFormat="1" applyFont="1"/>
    <xf numFmtId="0" fontId="10" fillId="0" borderId="0" xfId="2" applyFont="1"/>
    <xf numFmtId="10" fontId="5" fillId="0" borderId="0" xfId="2" applyNumberFormat="1" applyFont="1"/>
    <xf numFmtId="167" fontId="5" fillId="0" borderId="0" xfId="3" applyNumberFormat="1" applyFont="1"/>
    <xf numFmtId="9" fontId="5" fillId="0" borderId="0" xfId="2" applyNumberFormat="1" applyFont="1"/>
    <xf numFmtId="0" fontId="13" fillId="0" borderId="2" xfId="2" applyFont="1" applyBorder="1"/>
    <xf numFmtId="0" fontId="13" fillId="0" borderId="0" xfId="2" applyFont="1"/>
    <xf numFmtId="0" fontId="14" fillId="0" borderId="0" xfId="2" applyFont="1"/>
    <xf numFmtId="0" fontId="13" fillId="0" borderId="0" xfId="2" applyFont="1" applyAlignment="1">
      <alignment wrapText="1"/>
    </xf>
    <xf numFmtId="181" fontId="14" fillId="0" borderId="0" xfId="2" applyNumberFormat="1" applyFont="1" applyAlignment="1">
      <alignment horizontal="left"/>
    </xf>
    <xf numFmtId="181" fontId="14" fillId="0" borderId="0" xfId="2" applyNumberFormat="1" applyFont="1" applyAlignment="1">
      <alignment horizontal="right"/>
    </xf>
    <xf numFmtId="0" fontId="23" fillId="0" borderId="0" xfId="2" applyFont="1"/>
    <xf numFmtId="0" fontId="16" fillId="0" borderId="1" xfId="2" applyFont="1" applyBorder="1"/>
    <xf numFmtId="0" fontId="13" fillId="0" borderId="1" xfId="2" applyFont="1" applyBorder="1"/>
    <xf numFmtId="165" fontId="14" fillId="0" borderId="0" xfId="2" applyNumberFormat="1" applyFont="1"/>
    <xf numFmtId="10" fontId="14" fillId="0" borderId="0" xfId="3" applyNumberFormat="1" applyFont="1"/>
    <xf numFmtId="1" fontId="14" fillId="0" borderId="0" xfId="2" applyNumberFormat="1" applyFont="1"/>
    <xf numFmtId="0" fontId="19" fillId="0" borderId="0" xfId="2" applyFont="1"/>
    <xf numFmtId="2" fontId="13" fillId="0" borderId="0" xfId="2" applyNumberFormat="1" applyFont="1"/>
    <xf numFmtId="175" fontId="13" fillId="0" borderId="0" xfId="2" applyNumberFormat="1" applyFont="1"/>
    <xf numFmtId="1" fontId="13" fillId="0" borderId="0" xfId="2" applyNumberFormat="1" applyFont="1"/>
    <xf numFmtId="10" fontId="13" fillId="0" borderId="0" xfId="3" applyNumberFormat="1" applyFont="1"/>
    <xf numFmtId="10" fontId="14" fillId="0" borderId="0" xfId="2" applyNumberFormat="1" applyFont="1"/>
    <xf numFmtId="165" fontId="13" fillId="0" borderId="0" xfId="2" applyNumberFormat="1" applyFont="1"/>
    <xf numFmtId="166" fontId="13" fillId="0" borderId="0" xfId="2" applyNumberFormat="1" applyFont="1"/>
    <xf numFmtId="0" fontId="17" fillId="0" borderId="0" xfId="2" applyFont="1"/>
    <xf numFmtId="10" fontId="13" fillId="0" borderId="0" xfId="2" applyNumberFormat="1" applyFont="1"/>
    <xf numFmtId="167" fontId="13" fillId="0" borderId="0" xfId="3" applyNumberFormat="1" applyFont="1"/>
    <xf numFmtId="9" fontId="13" fillId="0" borderId="0" xfId="2" applyNumberFormat="1" applyFont="1"/>
    <xf numFmtId="0" fontId="4" fillId="0" borderId="1" xfId="2" applyFont="1" applyBorder="1"/>
  </cellXfs>
  <cellStyles count="4">
    <cellStyle name="Normal" xfId="0" builtinId="0"/>
    <cellStyle name="Normal 2" xfId="2" xr:uid="{949FFE88-A9DA-924E-9CC3-1764EC824D69}"/>
    <cellStyle name="Percent" xfId="1" builtinId="5"/>
    <cellStyle name="Percent 2" xfId="3" xr:uid="{9949581B-28E3-854F-9A4E-FBAD9D26F6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4DF40-8AEC-4C41-9A0A-7381A868AA78}">
  <sheetPr codeName="Sheet1"/>
  <dimension ref="A1:BL52"/>
  <sheetViews>
    <sheetView showGridLines="0" tabSelected="1" topLeftCell="A5" zoomScale="130" zoomScaleNormal="130" workbookViewId="0">
      <selection activeCell="J18" sqref="J18"/>
    </sheetView>
  </sheetViews>
  <sheetFormatPr baseColWidth="10" defaultRowHeight="25" x14ac:dyDescent="0.25"/>
  <cols>
    <col min="1" max="1" width="65.83203125" style="21" customWidth="1"/>
    <col min="2" max="2" width="17" style="21" customWidth="1"/>
    <col min="3" max="3" width="14" style="21" customWidth="1"/>
    <col min="4" max="4" width="20.6640625" style="21" customWidth="1"/>
    <col min="5" max="5" width="30.83203125" style="21" customWidth="1"/>
    <col min="6" max="6" width="9.6640625" style="21" bestFit="1" customWidth="1"/>
    <col min="7" max="7" width="20.33203125" style="21" bestFit="1" customWidth="1"/>
    <col min="8" max="8" width="14.33203125" style="21" customWidth="1"/>
    <col min="9" max="9" width="14.33203125" style="29" customWidth="1"/>
    <col min="10" max="10" width="10.1640625" style="21" customWidth="1"/>
    <col min="11" max="11" width="9.33203125" style="21" customWidth="1"/>
    <col min="12" max="256" width="8.83203125" style="21" customWidth="1"/>
    <col min="257" max="16384" width="10.83203125" style="21"/>
  </cols>
  <sheetData>
    <row r="1" spans="1:64" ht="26" thickBot="1" x14ac:dyDescent="0.3">
      <c r="A1" s="20" t="s">
        <v>6</v>
      </c>
      <c r="B1" s="20"/>
      <c r="C1" s="20"/>
      <c r="D1" s="20"/>
      <c r="E1" s="20"/>
      <c r="F1" s="20"/>
    </row>
    <row r="2" spans="1:64" ht="26" thickTop="1" x14ac:dyDescent="0.25">
      <c r="A2" s="21" t="s">
        <v>71</v>
      </c>
    </row>
    <row r="3" spans="1:64" x14ac:dyDescent="0.25">
      <c r="A3" s="22" t="s">
        <v>72</v>
      </c>
      <c r="B3" s="22">
        <v>200</v>
      </c>
      <c r="F3" s="23"/>
      <c r="G3" s="23"/>
    </row>
    <row r="4" spans="1:64" x14ac:dyDescent="0.25">
      <c r="A4" s="22" t="s">
        <v>73</v>
      </c>
      <c r="B4" s="22">
        <v>50</v>
      </c>
    </row>
    <row r="5" spans="1:64" x14ac:dyDescent="0.25">
      <c r="F5" s="22"/>
      <c r="G5" s="22"/>
    </row>
    <row r="6" spans="1:64" x14ac:dyDescent="0.25">
      <c r="A6" s="24" t="s">
        <v>0</v>
      </c>
      <c r="B6" s="25"/>
      <c r="D6" s="24" t="s">
        <v>9</v>
      </c>
      <c r="E6" s="25"/>
      <c r="F6" s="25"/>
    </row>
    <row r="7" spans="1:64" ht="31" x14ac:dyDescent="0.4">
      <c r="A7" s="22" t="s">
        <v>74</v>
      </c>
      <c r="B7" s="22">
        <v>16.5</v>
      </c>
      <c r="D7" s="26" t="s">
        <v>10</v>
      </c>
      <c r="E7" s="26">
        <v>0.97</v>
      </c>
      <c r="F7" s="27"/>
    </row>
    <row r="8" spans="1:64" ht="31" x14ac:dyDescent="0.4">
      <c r="A8" s="22" t="s">
        <v>75</v>
      </c>
      <c r="B8" s="22">
        <v>38.5</v>
      </c>
      <c r="D8" s="28" t="s">
        <v>5</v>
      </c>
      <c r="E8" s="29">
        <f>find_z(E7)</f>
        <v>1.89</v>
      </c>
    </row>
    <row r="9" spans="1:64" ht="31" x14ac:dyDescent="0.4">
      <c r="A9" s="21" t="s">
        <v>76</v>
      </c>
      <c r="B9" s="28">
        <f>ROUND(B8/(B7+B8),4)</f>
        <v>0.7</v>
      </c>
      <c r="D9" s="21" t="s">
        <v>4</v>
      </c>
      <c r="E9" s="21">
        <f>$B$3+E8*$B$4</f>
        <v>294.5</v>
      </c>
      <c r="F9" s="28"/>
    </row>
    <row r="10" spans="1:64" x14ac:dyDescent="0.25">
      <c r="A10" s="21" t="s">
        <v>5</v>
      </c>
      <c r="B10" s="29">
        <f>find_z(B9)</f>
        <v>0.53</v>
      </c>
      <c r="F10" s="28"/>
    </row>
    <row r="11" spans="1:64" x14ac:dyDescent="0.25">
      <c r="A11" s="21" t="s">
        <v>4</v>
      </c>
      <c r="B11" s="29">
        <f>B3+B4*B10</f>
        <v>226.5</v>
      </c>
      <c r="D11" s="24"/>
      <c r="E11" s="25"/>
      <c r="F11" s="25"/>
      <c r="G11" s="30"/>
    </row>
    <row r="12" spans="1:64" x14ac:dyDescent="0.25">
      <c r="D12" s="22"/>
      <c r="E12" s="31"/>
      <c r="F12" s="32"/>
    </row>
    <row r="13" spans="1:64" x14ac:dyDescent="0.25">
      <c r="F13" s="32"/>
    </row>
    <row r="14" spans="1:64" x14ac:dyDescent="0.25">
      <c r="A14" s="24" t="s">
        <v>1</v>
      </c>
      <c r="B14" s="25"/>
      <c r="F14" s="28"/>
      <c r="I14" s="45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</row>
    <row r="15" spans="1:64" x14ac:dyDescent="0.25">
      <c r="A15" s="22" t="s">
        <v>77</v>
      </c>
      <c r="B15" s="45">
        <f>B11</f>
        <v>226.5</v>
      </c>
      <c r="F15" s="28"/>
    </row>
    <row r="16" spans="1:64" x14ac:dyDescent="0.25">
      <c r="A16" s="21" t="s">
        <v>78</v>
      </c>
      <c r="B16" s="29">
        <f>ROUND((B15-B3)/B4,2)</f>
        <v>0.53</v>
      </c>
      <c r="D16" s="33"/>
      <c r="G16" s="21">
        <v>4.5</v>
      </c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</row>
    <row r="17" spans="1:64" x14ac:dyDescent="0.25">
      <c r="A17" s="21" t="s">
        <v>79</v>
      </c>
      <c r="B17" s="34">
        <f>loss_normal(B15,B3,B4)</f>
        <v>9.4350000000000005</v>
      </c>
      <c r="D17" s="32" t="s">
        <v>58</v>
      </c>
      <c r="E17" s="28">
        <f>B17/B4</f>
        <v>0.18870000000000001</v>
      </c>
      <c r="G17" s="36">
        <v>1</v>
      </c>
      <c r="H17" s="35">
        <f>_xlfn.POISSON.DIST(G17,$G$16,FALSE)</f>
        <v>4.9990484422090385E-2</v>
      </c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</row>
    <row r="18" spans="1:64" x14ac:dyDescent="0.25">
      <c r="A18" s="21" t="s">
        <v>80</v>
      </c>
      <c r="B18" s="29">
        <f>B3-B17</f>
        <v>190.565</v>
      </c>
      <c r="D18" s="32"/>
      <c r="G18" s="36">
        <v>2</v>
      </c>
      <c r="H18" s="35">
        <f t="shared" ref="H18:H19" si="0">_xlfn.POISSON.DIST(G18,$G$16,FALSE)</f>
        <v>0.11247858994970336</v>
      </c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</row>
    <row r="19" spans="1:64" x14ac:dyDescent="0.25">
      <c r="A19" s="21" t="s">
        <v>81</v>
      </c>
      <c r="B19" s="29">
        <f>B15-B18</f>
        <v>35.935000000000002</v>
      </c>
      <c r="D19" s="32"/>
      <c r="G19" s="36">
        <v>3</v>
      </c>
      <c r="H19" s="35">
        <f t="shared" si="0"/>
        <v>0.16871788492455503</v>
      </c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</row>
    <row r="20" spans="1:64" x14ac:dyDescent="0.25">
      <c r="A20" s="21" t="s">
        <v>82</v>
      </c>
      <c r="B20" s="35">
        <f>B18/B3</f>
        <v>0.95282500000000003</v>
      </c>
      <c r="D20" s="32"/>
      <c r="E20" s="32"/>
      <c r="F20" s="36"/>
      <c r="G20" s="36"/>
      <c r="H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</row>
    <row r="21" spans="1:64" x14ac:dyDescent="0.25">
      <c r="A21" s="21" t="s">
        <v>2</v>
      </c>
      <c r="B21" s="35">
        <f>1-NORMSDIST(B16)</f>
        <v>0.29805596539487644</v>
      </c>
      <c r="D21" s="28" t="s">
        <v>56</v>
      </c>
      <c r="E21" s="37">
        <f>NORMDIST(B15,B3,B4,1)</f>
        <v>0.70194403460512356</v>
      </c>
      <c r="F21" s="35"/>
      <c r="G21" s="35"/>
      <c r="H21" s="35"/>
    </row>
    <row r="22" spans="1:64" x14ac:dyDescent="0.25">
      <c r="D22" s="28"/>
      <c r="F22" s="35"/>
      <c r="G22" s="35"/>
      <c r="H22" s="35"/>
    </row>
    <row r="23" spans="1:64" ht="31" x14ac:dyDescent="0.4">
      <c r="A23" s="22" t="s">
        <v>74</v>
      </c>
      <c r="B23" s="22">
        <v>16.5</v>
      </c>
      <c r="F23" s="38"/>
      <c r="G23" s="29"/>
      <c r="H23" s="29"/>
    </row>
    <row r="24" spans="1:64" ht="31" x14ac:dyDescent="0.4">
      <c r="A24" s="22" t="s">
        <v>75</v>
      </c>
      <c r="B24" s="22">
        <v>38.5</v>
      </c>
    </row>
    <row r="25" spans="1:64" x14ac:dyDescent="0.25">
      <c r="A25" s="21" t="s">
        <v>11</v>
      </c>
      <c r="B25" s="29">
        <f>B24*B18-B23*B19</f>
        <v>6743.8249999999998</v>
      </c>
      <c r="J25" s="23"/>
      <c r="K25" s="23"/>
    </row>
    <row r="26" spans="1:64" x14ac:dyDescent="0.25">
      <c r="A26" s="21" t="s">
        <v>7</v>
      </c>
      <c r="B26" s="29">
        <f>B24*B3</f>
        <v>7700</v>
      </c>
      <c r="I26" s="46"/>
    </row>
    <row r="27" spans="1:64" x14ac:dyDescent="0.25">
      <c r="A27" s="21" t="s">
        <v>8</v>
      </c>
      <c r="B27" s="29">
        <f>ROUND(B17*B24+B23*B19,2)</f>
        <v>956.18</v>
      </c>
      <c r="J27" s="34"/>
      <c r="K27" s="29"/>
    </row>
    <row r="28" spans="1:64" x14ac:dyDescent="0.25">
      <c r="J28" s="34"/>
      <c r="K28" s="29"/>
    </row>
    <row r="29" spans="1:64" x14ac:dyDescent="0.25">
      <c r="J29" s="34"/>
      <c r="K29" s="29"/>
    </row>
    <row r="30" spans="1:64" x14ac:dyDescent="0.25">
      <c r="A30" s="21" t="s">
        <v>59</v>
      </c>
      <c r="B30" s="21">
        <f>35*B18+15*B19</f>
        <v>7208.7999999999993</v>
      </c>
      <c r="F30" s="39"/>
      <c r="G30" s="39"/>
      <c r="J30" s="34"/>
      <c r="K30" s="29"/>
    </row>
    <row r="31" spans="1:64" x14ac:dyDescent="0.25">
      <c r="J31" s="34"/>
      <c r="K31" s="29"/>
    </row>
    <row r="32" spans="1:64" x14ac:dyDescent="0.25">
      <c r="J32" s="34"/>
      <c r="K32" s="29"/>
    </row>
    <row r="33" spans="6:11" x14ac:dyDescent="0.25">
      <c r="F33" s="40"/>
      <c r="J33" s="34"/>
      <c r="K33" s="29"/>
    </row>
    <row r="34" spans="6:11" x14ac:dyDescent="0.25">
      <c r="F34" s="28"/>
      <c r="J34" s="34"/>
      <c r="K34" s="29"/>
    </row>
    <row r="35" spans="6:11" x14ac:dyDescent="0.25">
      <c r="J35" s="34"/>
      <c r="K35" s="29"/>
    </row>
    <row r="36" spans="6:11" x14ac:dyDescent="0.25">
      <c r="J36" s="34"/>
      <c r="K36" s="29"/>
    </row>
    <row r="37" spans="6:11" x14ac:dyDescent="0.25">
      <c r="J37" s="34"/>
      <c r="K37" s="29"/>
    </row>
    <row r="38" spans="6:11" x14ac:dyDescent="0.25">
      <c r="J38" s="34"/>
      <c r="K38" s="29"/>
    </row>
    <row r="39" spans="6:11" x14ac:dyDescent="0.25">
      <c r="J39" s="34"/>
      <c r="K39" s="29"/>
    </row>
    <row r="40" spans="6:11" x14ac:dyDescent="0.25">
      <c r="J40" s="34"/>
      <c r="K40" s="29"/>
    </row>
    <row r="41" spans="6:11" x14ac:dyDescent="0.25">
      <c r="J41" s="34"/>
      <c r="K41" s="29"/>
    </row>
    <row r="42" spans="6:11" x14ac:dyDescent="0.25">
      <c r="J42" s="34"/>
      <c r="K42" s="29"/>
    </row>
    <row r="43" spans="6:11" x14ac:dyDescent="0.25">
      <c r="J43" s="34"/>
      <c r="K43" s="29"/>
    </row>
    <row r="44" spans="6:11" x14ac:dyDescent="0.25">
      <c r="J44" s="34"/>
      <c r="K44" s="29"/>
    </row>
    <row r="45" spans="6:11" x14ac:dyDescent="0.25">
      <c r="J45" s="34"/>
      <c r="K45" s="29"/>
    </row>
    <row r="46" spans="6:11" x14ac:dyDescent="0.25">
      <c r="J46" s="34"/>
      <c r="K46" s="29"/>
    </row>
    <row r="47" spans="6:11" x14ac:dyDescent="0.25">
      <c r="J47" s="34"/>
      <c r="K47" s="29"/>
    </row>
    <row r="48" spans="6:11" x14ac:dyDescent="0.25">
      <c r="J48" s="34"/>
      <c r="K48" s="29"/>
    </row>
    <row r="49" spans="10:11" x14ac:dyDescent="0.25">
      <c r="J49" s="34"/>
      <c r="K49" s="29"/>
    </row>
    <row r="50" spans="10:11" x14ac:dyDescent="0.25">
      <c r="J50" s="34"/>
      <c r="K50" s="29"/>
    </row>
    <row r="51" spans="10:11" x14ac:dyDescent="0.25">
      <c r="J51" s="34"/>
      <c r="K51" s="29"/>
    </row>
    <row r="52" spans="10:11" x14ac:dyDescent="0.25">
      <c r="J52" s="34"/>
      <c r="K52" s="29"/>
    </row>
  </sheetData>
  <phoneticPr fontId="0" type="noConversion"/>
  <pageMargins left="0.75" right="0.75" top="1" bottom="1" header="0.5" footer="0.5"/>
  <pageSetup orientation="portrait" horizontalDpi="4294967292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E97C2-C823-2648-90F8-3595E0E0F1B2}">
  <sheetPr codeName="Sheet2"/>
  <dimension ref="A1:M26"/>
  <sheetViews>
    <sheetView showGridLines="0" topLeftCell="A7" workbookViewId="0">
      <selection activeCell="C22" sqref="C22"/>
    </sheetView>
  </sheetViews>
  <sheetFormatPr baseColWidth="10" defaultRowHeight="23" x14ac:dyDescent="0.25"/>
  <cols>
    <col min="1" max="1" width="47.5" style="3" customWidth="1"/>
    <col min="2" max="2" width="40.5" style="3" customWidth="1"/>
    <col min="3" max="3" width="14.83203125" style="3" customWidth="1"/>
    <col min="4" max="4" width="31.33203125" style="3" customWidth="1"/>
    <col min="5" max="5" width="23.6640625" style="3" customWidth="1"/>
    <col min="6" max="6" width="5.6640625" style="3" customWidth="1"/>
    <col min="7" max="256" width="8.83203125" style="3" customWidth="1"/>
    <col min="257" max="16384" width="10.83203125" style="3"/>
  </cols>
  <sheetData>
    <row r="1" spans="1:13" x14ac:dyDescent="0.25">
      <c r="A1" s="2" t="s">
        <v>3</v>
      </c>
      <c r="B1" s="2"/>
      <c r="C1" s="2"/>
      <c r="D1" s="2"/>
      <c r="E1" s="2"/>
      <c r="F1" s="2"/>
      <c r="G1" s="14"/>
    </row>
    <row r="2" spans="1:13" x14ac:dyDescent="0.25">
      <c r="A2" s="3" t="s">
        <v>60</v>
      </c>
    </row>
    <row r="3" spans="1:13" x14ac:dyDescent="0.25">
      <c r="A3" s="5" t="s">
        <v>61</v>
      </c>
      <c r="B3" s="5">
        <v>5</v>
      </c>
      <c r="F3" s="6"/>
      <c r="G3" s="6"/>
    </row>
    <row r="4" spans="1:13" x14ac:dyDescent="0.25">
      <c r="A4" s="5"/>
      <c r="B4" s="5"/>
    </row>
    <row r="5" spans="1:13" x14ac:dyDescent="0.25">
      <c r="F5" s="5"/>
      <c r="G5" s="5"/>
    </row>
    <row r="6" spans="1:13" x14ac:dyDescent="0.25">
      <c r="A6" s="7" t="s">
        <v>0</v>
      </c>
      <c r="B6" s="2"/>
      <c r="D6" s="7" t="s">
        <v>9</v>
      </c>
      <c r="E6" s="2"/>
      <c r="F6" s="2"/>
    </row>
    <row r="7" spans="1:13" ht="27" x14ac:dyDescent="0.35">
      <c r="A7" s="5" t="s">
        <v>62</v>
      </c>
      <c r="B7" s="5">
        <v>400</v>
      </c>
      <c r="D7" s="8" t="s">
        <v>10</v>
      </c>
      <c r="E7" s="8">
        <v>0.95</v>
      </c>
      <c r="F7" s="9"/>
    </row>
    <row r="8" spans="1:13" ht="27" x14ac:dyDescent="0.35">
      <c r="A8" s="5" t="s">
        <v>63</v>
      </c>
      <c r="B8" s="5">
        <v>250</v>
      </c>
      <c r="D8" s="3" t="s">
        <v>4</v>
      </c>
      <c r="E8" s="3">
        <f>find_s_poisson(B3,E7)</f>
        <v>9</v>
      </c>
    </row>
    <row r="9" spans="1:13" ht="27" x14ac:dyDescent="0.35">
      <c r="A9" s="3" t="s">
        <v>64</v>
      </c>
      <c r="B9" s="10">
        <f>ROUND(B8/(B7+B8),4)</f>
        <v>0.3846</v>
      </c>
    </row>
    <row r="10" spans="1:13" x14ac:dyDescent="0.25">
      <c r="A10" s="3" t="s">
        <v>4</v>
      </c>
      <c r="B10" s="11">
        <f>find_s_poisson(B3,B9)</f>
        <v>4</v>
      </c>
      <c r="D10" s="7"/>
      <c r="E10" s="2"/>
      <c r="F10" s="2"/>
      <c r="G10" s="10"/>
    </row>
    <row r="11" spans="1:13" x14ac:dyDescent="0.25">
      <c r="D11" s="5"/>
      <c r="E11" s="13"/>
      <c r="F11" s="14"/>
      <c r="G11" s="12"/>
    </row>
    <row r="12" spans="1:13" x14ac:dyDescent="0.25">
      <c r="F12" s="14"/>
      <c r="G12" s="19"/>
    </row>
    <row r="13" spans="1:13" x14ac:dyDescent="0.25">
      <c r="F13" s="10"/>
    </row>
    <row r="14" spans="1:13" x14ac:dyDescent="0.25">
      <c r="A14" s="7" t="s">
        <v>1</v>
      </c>
      <c r="B14" s="2"/>
      <c r="D14" s="14"/>
    </row>
    <row r="15" spans="1:13" x14ac:dyDescent="0.25">
      <c r="A15" s="5" t="s">
        <v>65</v>
      </c>
      <c r="B15" s="9">
        <v>3</v>
      </c>
      <c r="D15" s="14"/>
      <c r="M15" s="8"/>
    </row>
    <row r="16" spans="1:13" x14ac:dyDescent="0.25">
      <c r="A16" s="3" t="s">
        <v>67</v>
      </c>
      <c r="B16" s="41">
        <f>loss_poisson(B15,B3)</f>
        <v>2.1718176484766794</v>
      </c>
      <c r="D16" s="14"/>
      <c r="G16" s="10"/>
      <c r="H16" s="10"/>
    </row>
    <row r="17" spans="1:13" x14ac:dyDescent="0.25">
      <c r="A17" s="3" t="s">
        <v>68</v>
      </c>
      <c r="B17" s="11">
        <f>B3-B16</f>
        <v>2.8281823515233206</v>
      </c>
      <c r="D17" s="14"/>
      <c r="G17" s="12"/>
      <c r="H17" s="10"/>
      <c r="M17" s="10"/>
    </row>
    <row r="18" spans="1:13" x14ac:dyDescent="0.25">
      <c r="A18" s="3" t="s">
        <v>69</v>
      </c>
      <c r="B18" s="11">
        <f>B15-B17</f>
        <v>0.17181764847667935</v>
      </c>
      <c r="D18" s="14"/>
      <c r="G18" s="12"/>
      <c r="H18" s="10"/>
      <c r="M18" s="10"/>
    </row>
    <row r="19" spans="1:13" x14ac:dyDescent="0.25">
      <c r="A19" s="3" t="s">
        <v>70</v>
      </c>
      <c r="B19" s="17">
        <f>B17/B3</f>
        <v>0.56563647030466413</v>
      </c>
      <c r="D19" s="15"/>
      <c r="E19" s="14"/>
      <c r="F19" s="42"/>
      <c r="G19" s="12"/>
      <c r="H19" s="10"/>
      <c r="M19" s="10"/>
    </row>
    <row r="20" spans="1:13" x14ac:dyDescent="0.25">
      <c r="A20" s="3" t="s">
        <v>2</v>
      </c>
      <c r="B20" s="17">
        <f>1-POISSON(B15,B3,1)</f>
        <v>0.73497408470263825</v>
      </c>
      <c r="D20" s="3" t="s">
        <v>57</v>
      </c>
      <c r="E20" s="43">
        <f>1-B20</f>
        <v>0.26502591529736175</v>
      </c>
      <c r="F20" s="44"/>
      <c r="G20" s="18"/>
      <c r="H20" s="16"/>
      <c r="M20" s="10"/>
    </row>
    <row r="21" spans="1:13" x14ac:dyDescent="0.25">
      <c r="D21" s="17"/>
      <c r="E21" s="17"/>
      <c r="F21" s="17"/>
      <c r="G21" s="17"/>
      <c r="H21" s="17"/>
      <c r="M21" s="18"/>
    </row>
    <row r="22" spans="1:13" ht="27" x14ac:dyDescent="0.35">
      <c r="A22" s="5" t="s">
        <v>62</v>
      </c>
      <c r="B22" s="5">
        <f>B7</f>
        <v>400</v>
      </c>
      <c r="D22" s="17"/>
      <c r="E22" s="17"/>
      <c r="F22" s="17"/>
      <c r="G22" s="17"/>
      <c r="H22" s="17"/>
      <c r="M22" s="17"/>
    </row>
    <row r="23" spans="1:13" ht="27" x14ac:dyDescent="0.35">
      <c r="A23" s="5" t="s">
        <v>63</v>
      </c>
      <c r="B23" s="5">
        <f>B8</f>
        <v>250</v>
      </c>
      <c r="F23" s="19"/>
      <c r="G23" s="19"/>
      <c r="M23" s="17"/>
    </row>
    <row r="24" spans="1:13" x14ac:dyDescent="0.25">
      <c r="A24" s="3" t="s">
        <v>11</v>
      </c>
      <c r="B24" s="11">
        <f>B23*B17-B22*B18</f>
        <v>638.31852849015831</v>
      </c>
    </row>
    <row r="25" spans="1:13" x14ac:dyDescent="0.25">
      <c r="A25" s="3" t="s">
        <v>7</v>
      </c>
      <c r="B25" s="11">
        <f>B23*B3</f>
        <v>1250</v>
      </c>
    </row>
    <row r="26" spans="1:13" x14ac:dyDescent="0.25">
      <c r="A26" s="3" t="s">
        <v>8</v>
      </c>
      <c r="B26" s="11">
        <f>ROUND(B16*B23+B22*B18,2)</f>
        <v>611.67999999999995</v>
      </c>
    </row>
  </sheetData>
  <phoneticPr fontId="0" type="noConversion"/>
  <pageMargins left="0.75" right="0.75" top="1" bottom="1" header="0.5" footer="0.5"/>
  <pageSetup orientation="portrait" horizontalDpi="4294967292" verticalDpi="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AFF0-E2FC-8A41-A278-C039BAB07C5D}">
  <sheetPr codeName="Sheet3"/>
  <dimension ref="A1:K30"/>
  <sheetViews>
    <sheetView showGridLines="0" workbookViewId="0">
      <selection activeCell="P3" sqref="P3"/>
    </sheetView>
  </sheetViews>
  <sheetFormatPr baseColWidth="10" defaultRowHeight="23" x14ac:dyDescent="0.25"/>
  <cols>
    <col min="1" max="1" width="54.83203125" style="3" customWidth="1"/>
    <col min="2" max="256" width="8.83203125" style="3" customWidth="1"/>
    <col min="257" max="16384" width="10.83203125" style="3"/>
  </cols>
  <sheetData>
    <row r="1" spans="1:11" x14ac:dyDescent="0.25">
      <c r="A1" s="1" t="s">
        <v>12</v>
      </c>
      <c r="B1" s="2"/>
      <c r="C1" s="2"/>
      <c r="D1" s="2"/>
      <c r="E1" s="2"/>
      <c r="F1" s="2"/>
      <c r="G1" s="2"/>
      <c r="H1" s="2"/>
      <c r="I1" s="2"/>
      <c r="J1" s="2"/>
      <c r="K1" s="2"/>
    </row>
    <row r="3" spans="1:11" x14ac:dyDescent="0.25">
      <c r="A3" s="3" t="s">
        <v>13</v>
      </c>
      <c r="B3" s="3" t="s">
        <v>14</v>
      </c>
    </row>
    <row r="4" spans="1:11" x14ac:dyDescent="0.25">
      <c r="A4" s="3" t="s">
        <v>15</v>
      </c>
      <c r="B4" s="3" t="s">
        <v>16</v>
      </c>
    </row>
    <row r="6" spans="1:11" x14ac:dyDescent="0.25">
      <c r="A6" s="3" t="s">
        <v>17</v>
      </c>
      <c r="B6" s="3" t="s">
        <v>18</v>
      </c>
    </row>
    <row r="7" spans="1:11" x14ac:dyDescent="0.25">
      <c r="A7" s="3" t="s">
        <v>19</v>
      </c>
      <c r="B7" s="3" t="s">
        <v>20</v>
      </c>
    </row>
    <row r="9" spans="1:11" x14ac:dyDescent="0.25">
      <c r="A9" s="3" t="s">
        <v>21</v>
      </c>
      <c r="B9" s="3" t="s">
        <v>22</v>
      </c>
    </row>
    <row r="10" spans="1:11" x14ac:dyDescent="0.25">
      <c r="A10" s="3" t="s">
        <v>23</v>
      </c>
      <c r="B10" s="3" t="s">
        <v>24</v>
      </c>
    </row>
    <row r="12" spans="1:11" x14ac:dyDescent="0.25">
      <c r="A12" s="3" t="s">
        <v>25</v>
      </c>
      <c r="B12" s="3" t="s">
        <v>26</v>
      </c>
    </row>
    <row r="13" spans="1:11" x14ac:dyDescent="0.25">
      <c r="A13" s="3" t="s">
        <v>27</v>
      </c>
      <c r="B13" s="3" t="s">
        <v>28</v>
      </c>
    </row>
    <row r="15" spans="1:11" x14ac:dyDescent="0.25">
      <c r="A15" s="3" t="s">
        <v>29</v>
      </c>
      <c r="B15" s="3" t="s">
        <v>30</v>
      </c>
    </row>
    <row r="17" spans="1:2" x14ac:dyDescent="0.25">
      <c r="A17" s="3" t="s">
        <v>31</v>
      </c>
      <c r="B17" s="3" t="s">
        <v>32</v>
      </c>
    </row>
    <row r="18" spans="1:2" x14ac:dyDescent="0.25">
      <c r="A18" s="3" t="s">
        <v>33</v>
      </c>
      <c r="B18" s="3" t="s">
        <v>34</v>
      </c>
    </row>
    <row r="19" spans="1:2" x14ac:dyDescent="0.25">
      <c r="A19" s="3" t="s">
        <v>35</v>
      </c>
      <c r="B19" s="3" t="s">
        <v>36</v>
      </c>
    </row>
    <row r="20" spans="1:2" x14ac:dyDescent="0.25">
      <c r="A20" s="3" t="s">
        <v>37</v>
      </c>
      <c r="B20" s="3" t="s">
        <v>38</v>
      </c>
    </row>
    <row r="21" spans="1:2" x14ac:dyDescent="0.25">
      <c r="A21" s="3" t="s">
        <v>39</v>
      </c>
      <c r="B21" s="3" t="s">
        <v>40</v>
      </c>
    </row>
    <row r="23" spans="1:2" x14ac:dyDescent="0.25">
      <c r="A23" s="4" t="s">
        <v>41</v>
      </c>
    </row>
    <row r="24" spans="1:2" x14ac:dyDescent="0.25">
      <c r="A24" s="3" t="s">
        <v>42</v>
      </c>
      <c r="B24" s="3" t="s">
        <v>43</v>
      </c>
    </row>
    <row r="25" spans="1:2" x14ac:dyDescent="0.25">
      <c r="A25" s="3" t="s">
        <v>44</v>
      </c>
      <c r="B25" s="3" t="s">
        <v>45</v>
      </c>
    </row>
    <row r="26" spans="1:2" x14ac:dyDescent="0.25">
      <c r="A26" s="3" t="s">
        <v>46</v>
      </c>
      <c r="B26" s="3" t="s">
        <v>47</v>
      </c>
    </row>
    <row r="27" spans="1:2" x14ac:dyDescent="0.25">
      <c r="A27" s="3" t="s">
        <v>48</v>
      </c>
      <c r="B27" s="3" t="s">
        <v>49</v>
      </c>
    </row>
    <row r="28" spans="1:2" x14ac:dyDescent="0.25">
      <c r="A28" s="3" t="s">
        <v>50</v>
      </c>
      <c r="B28" s="3" t="s">
        <v>51</v>
      </c>
    </row>
    <row r="29" spans="1:2" x14ac:dyDescent="0.25">
      <c r="A29" s="3" t="s">
        <v>52</v>
      </c>
      <c r="B29" s="3" t="s">
        <v>53</v>
      </c>
    </row>
    <row r="30" spans="1:2" x14ac:dyDescent="0.25">
      <c r="A30" s="3" t="s">
        <v>54</v>
      </c>
      <c r="B30" s="3" t="s">
        <v>55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2B4C5-379F-C248-A687-38ADBB21DD2D}">
  <sheetPr codeName="Sheet4"/>
  <dimension ref="A1:BL41"/>
  <sheetViews>
    <sheetView showGridLines="0" zoomScale="125" zoomScaleNormal="125" workbookViewId="0">
      <selection activeCell="F5" sqref="F5"/>
    </sheetView>
  </sheetViews>
  <sheetFormatPr baseColWidth="10" defaultColWidth="8.83203125" defaultRowHeight="23" x14ac:dyDescent="0.25"/>
  <cols>
    <col min="1" max="1" width="31.5" style="48" customWidth="1"/>
    <col min="2" max="2" width="13.83203125" style="48" customWidth="1"/>
    <col min="3" max="3" width="8" style="48" customWidth="1"/>
    <col min="4" max="4" width="7.83203125" style="48" customWidth="1"/>
    <col min="5" max="5" width="33" style="48" customWidth="1"/>
    <col min="6" max="6" width="24" style="48" customWidth="1"/>
    <col min="7" max="7" width="9.5" style="48" bestFit="1" customWidth="1"/>
    <col min="8" max="8" width="8.83203125" style="48"/>
    <col min="9" max="9" width="9.1640625" style="48" bestFit="1" customWidth="1"/>
    <col min="10" max="14" width="8.83203125" style="48"/>
    <col min="15" max="15" width="11" style="48" bestFit="1" customWidth="1"/>
    <col min="16" max="16384" width="8.83203125" style="48"/>
  </cols>
  <sheetData>
    <row r="1" spans="1:9" ht="24" thickBot="1" x14ac:dyDescent="0.3">
      <c r="A1" s="47" t="s">
        <v>83</v>
      </c>
      <c r="B1" s="47"/>
      <c r="C1" s="47"/>
      <c r="D1" s="47"/>
      <c r="E1" s="47"/>
    </row>
    <row r="2" spans="1:9" ht="24" thickTop="1" x14ac:dyDescent="0.25">
      <c r="A2" s="48" t="s">
        <v>60</v>
      </c>
    </row>
    <row r="4" spans="1:9" x14ac:dyDescent="0.25">
      <c r="A4" s="49" t="s">
        <v>84</v>
      </c>
      <c r="B4" s="49">
        <v>1</v>
      </c>
      <c r="F4" s="50"/>
      <c r="G4" s="50"/>
      <c r="I4" s="48">
        <f>502/4.33</f>
        <v>115.93533487297921</v>
      </c>
    </row>
    <row r="5" spans="1:9" x14ac:dyDescent="0.25">
      <c r="A5" s="49" t="s">
        <v>85</v>
      </c>
      <c r="I5" s="48">
        <f>125/SQRT(4.33)</f>
        <v>60.071166416526594</v>
      </c>
    </row>
    <row r="6" spans="1:9" x14ac:dyDescent="0.25">
      <c r="A6" s="51" t="s">
        <v>86</v>
      </c>
      <c r="B6" s="49">
        <v>116</v>
      </c>
      <c r="F6" s="49"/>
      <c r="G6" s="49"/>
    </row>
    <row r="7" spans="1:9" x14ac:dyDescent="0.25">
      <c r="A7" s="51" t="s">
        <v>87</v>
      </c>
      <c r="B7" s="49">
        <v>60.07</v>
      </c>
    </row>
    <row r="8" spans="1:9" x14ac:dyDescent="0.25">
      <c r="A8" s="52"/>
      <c r="B8" s="49"/>
    </row>
    <row r="9" spans="1:9" x14ac:dyDescent="0.25">
      <c r="A9" s="53" t="s">
        <v>88</v>
      </c>
      <c r="B9" s="48">
        <f>($B$4+1)*$B$6</f>
        <v>232</v>
      </c>
    </row>
    <row r="10" spans="1:9" x14ac:dyDescent="0.25">
      <c r="A10" s="53" t="s">
        <v>89</v>
      </c>
      <c r="B10" s="54">
        <f>SQRT($B$4+1)*$B$7</f>
        <v>84.951808691751822</v>
      </c>
      <c r="C10" s="55"/>
    </row>
    <row r="12" spans="1:9" x14ac:dyDescent="0.25">
      <c r="A12" s="56" t="s">
        <v>90</v>
      </c>
      <c r="B12" s="57"/>
      <c r="C12" s="57"/>
      <c r="E12" s="56" t="s">
        <v>1</v>
      </c>
      <c r="F12" s="57"/>
    </row>
    <row r="13" spans="1:9" x14ac:dyDescent="0.25">
      <c r="A13" s="58" t="s">
        <v>10</v>
      </c>
      <c r="B13" s="59">
        <v>0.98</v>
      </c>
      <c r="E13" s="49" t="s">
        <v>91</v>
      </c>
      <c r="F13" s="55">
        <v>1200</v>
      </c>
    </row>
    <row r="14" spans="1:9" x14ac:dyDescent="0.25">
      <c r="A14" s="60" t="s">
        <v>5</v>
      </c>
      <c r="B14" s="61">
        <f>find_z(B13)</f>
        <v>2.06</v>
      </c>
      <c r="E14" s="48" t="s">
        <v>66</v>
      </c>
      <c r="F14" s="61">
        <f>ROUND((F13-B9)/B10,2)</f>
        <v>11.39</v>
      </c>
      <c r="G14" s="62"/>
    </row>
    <row r="15" spans="1:9" x14ac:dyDescent="0.25">
      <c r="A15" s="63" t="s">
        <v>92</v>
      </c>
      <c r="B15" s="54">
        <f>$B$9+B14*$B$10</f>
        <v>407.00072590500872</v>
      </c>
      <c r="E15" s="48" t="s">
        <v>93</v>
      </c>
      <c r="F15" s="61">
        <f>loss_normal(F13,B9,B10)</f>
        <v>0</v>
      </c>
    </row>
    <row r="16" spans="1:9" x14ac:dyDescent="0.25">
      <c r="E16" s="48" t="s">
        <v>94</v>
      </c>
      <c r="F16" s="54">
        <f>F13-(B9-F15)</f>
        <v>968</v>
      </c>
    </row>
    <row r="17" spans="1:64" x14ac:dyDescent="0.25">
      <c r="A17" s="56" t="s">
        <v>95</v>
      </c>
      <c r="B17" s="57"/>
      <c r="C17" s="57"/>
      <c r="D17" s="58"/>
      <c r="E17" s="48" t="s">
        <v>96</v>
      </c>
      <c r="F17" s="48">
        <f>B4*B6</f>
        <v>116</v>
      </c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</row>
    <row r="18" spans="1:64" x14ac:dyDescent="0.25">
      <c r="A18" s="49" t="s">
        <v>97</v>
      </c>
      <c r="B18" s="64">
        <v>0.95</v>
      </c>
      <c r="E18" s="48" t="s">
        <v>70</v>
      </c>
      <c r="F18" s="65">
        <f>1-F15/B6</f>
        <v>1</v>
      </c>
    </row>
    <row r="19" spans="1:64" x14ac:dyDescent="0.25">
      <c r="A19" s="48" t="s">
        <v>98</v>
      </c>
      <c r="B19" s="48">
        <f>ROUND(B6*(1-B18)/B10,4)</f>
        <v>6.83E-2</v>
      </c>
      <c r="C19" s="60"/>
      <c r="D19" s="60"/>
      <c r="E19" s="48" t="s">
        <v>99</v>
      </c>
      <c r="F19" s="65">
        <f>NORMSDIST(F14)</f>
        <v>1</v>
      </c>
      <c r="I19" s="60"/>
      <c r="J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</row>
    <row r="20" spans="1:64" x14ac:dyDescent="0.25">
      <c r="A20" s="48" t="s">
        <v>5</v>
      </c>
      <c r="B20" s="48" t="e">
        <f ca="1">find_lz(B19)</f>
        <v>#NAME?</v>
      </c>
      <c r="E20" s="48" t="s">
        <v>2</v>
      </c>
      <c r="F20" s="65">
        <f>1-NORMSDIST(F14)</f>
        <v>0</v>
      </c>
      <c r="G20" s="62"/>
      <c r="H20" s="60"/>
      <c r="I20" s="60"/>
      <c r="J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</row>
    <row r="21" spans="1:64" x14ac:dyDescent="0.25">
      <c r="A21" s="48" t="s">
        <v>100</v>
      </c>
      <c r="B21" s="54" t="e">
        <f ca="1">$B$9+B20*$B$10</f>
        <v>#NAME?</v>
      </c>
      <c r="G21" s="62"/>
      <c r="H21" s="60"/>
      <c r="I21" s="60"/>
      <c r="J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</row>
    <row r="22" spans="1:64" x14ac:dyDescent="0.25">
      <c r="E22" s="49"/>
      <c r="F22" s="49"/>
      <c r="G22" s="62"/>
      <c r="H22" s="60"/>
      <c r="I22" s="60"/>
      <c r="J22" s="60"/>
      <c r="N22" s="60"/>
      <c r="O22" s="60">
        <f>0.26*7*50/52</f>
        <v>1.75</v>
      </c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</row>
    <row r="23" spans="1:64" x14ac:dyDescent="0.25">
      <c r="A23" s="56" t="s">
        <v>101</v>
      </c>
      <c r="B23" s="57"/>
      <c r="C23" s="57"/>
      <c r="E23" s="49"/>
      <c r="F23" s="49"/>
      <c r="G23" s="54"/>
      <c r="H23" s="66"/>
      <c r="I23" s="66"/>
      <c r="J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</row>
    <row r="24" spans="1:64" x14ac:dyDescent="0.25">
      <c r="A24" s="67" t="s">
        <v>102</v>
      </c>
      <c r="B24" s="49">
        <v>1</v>
      </c>
      <c r="F24" s="61"/>
      <c r="G24" s="54"/>
      <c r="H24" s="66"/>
      <c r="I24" s="66"/>
      <c r="J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</row>
    <row r="25" spans="1:64" x14ac:dyDescent="0.25">
      <c r="A25" s="67" t="s">
        <v>103</v>
      </c>
      <c r="B25" s="49">
        <v>2</v>
      </c>
      <c r="F25" s="61"/>
      <c r="G25" s="54"/>
      <c r="H25" s="66"/>
      <c r="I25" s="66"/>
      <c r="J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</row>
    <row r="26" spans="1:64" x14ac:dyDescent="0.25">
      <c r="A26" s="48" t="s">
        <v>104</v>
      </c>
      <c r="B26" s="60">
        <f>ROUND(B25/(B24+B25),4)</f>
        <v>0.66669999999999996</v>
      </c>
      <c r="F26" s="61"/>
      <c r="G26" s="54"/>
      <c r="H26" s="66"/>
      <c r="I26" s="66"/>
      <c r="J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</row>
    <row r="27" spans="1:64" x14ac:dyDescent="0.25">
      <c r="A27" s="48" t="s">
        <v>5</v>
      </c>
      <c r="B27" s="61">
        <f>find_z(B26)</f>
        <v>0.44</v>
      </c>
      <c r="D27" s="60"/>
      <c r="F27" s="65"/>
      <c r="G27" s="65"/>
      <c r="H27" s="65"/>
    </row>
    <row r="28" spans="1:64" x14ac:dyDescent="0.25">
      <c r="A28" s="63" t="s">
        <v>92</v>
      </c>
      <c r="B28" s="54">
        <f>$B$9+B27*$B$10</f>
        <v>269.3787958243708</v>
      </c>
      <c r="D28" s="60"/>
      <c r="F28" s="65"/>
      <c r="G28" s="65"/>
      <c r="H28" s="65"/>
    </row>
    <row r="29" spans="1:64" x14ac:dyDescent="0.25">
      <c r="F29" s="68"/>
      <c r="G29" s="68"/>
    </row>
    <row r="32" spans="1:64" x14ac:dyDescent="0.25">
      <c r="C32" s="58"/>
    </row>
    <row r="34" spans="3:7" x14ac:dyDescent="0.25">
      <c r="C34" s="60"/>
    </row>
    <row r="35" spans="3:7" x14ac:dyDescent="0.25">
      <c r="C35" s="60"/>
    </row>
    <row r="36" spans="3:7" x14ac:dyDescent="0.25">
      <c r="C36" s="60"/>
      <c r="F36" s="69"/>
      <c r="G36" s="69"/>
    </row>
    <row r="37" spans="3:7" x14ac:dyDescent="0.25">
      <c r="C37" s="60"/>
    </row>
    <row r="38" spans="3:7" x14ac:dyDescent="0.25">
      <c r="C38" s="66"/>
    </row>
    <row r="39" spans="3:7" x14ac:dyDescent="0.25">
      <c r="F39" s="70"/>
    </row>
    <row r="40" spans="3:7" x14ac:dyDescent="0.25">
      <c r="F40" s="60"/>
    </row>
    <row r="41" spans="3:7" x14ac:dyDescent="0.25">
      <c r="F41" s="48">
        <f>NORMINV(0.98,696,147)</f>
        <v>997.90108986287782</v>
      </c>
    </row>
  </sheetData>
  <pageMargins left="0.75" right="0.75" top="1" bottom="1" header="0.5" footer="0.5"/>
  <pageSetup orientation="portrait" horizontalDpi="4294967292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6F5F0-5563-9649-8C46-C1DA9F5762BE}">
  <sheetPr codeName="Sheet5"/>
  <dimension ref="A1:BL38"/>
  <sheetViews>
    <sheetView showGridLines="0" topLeftCell="A4" workbookViewId="0">
      <selection activeCell="I19" sqref="I19"/>
    </sheetView>
  </sheetViews>
  <sheetFormatPr baseColWidth="10" defaultColWidth="8.83203125" defaultRowHeight="25" x14ac:dyDescent="0.25"/>
  <cols>
    <col min="1" max="1" width="31.5" style="72" customWidth="1"/>
    <col min="2" max="2" width="21.5" style="72" customWidth="1"/>
    <col min="3" max="3" width="9.5" style="72" customWidth="1"/>
    <col min="4" max="4" width="4.6640625" style="72" customWidth="1"/>
    <col min="5" max="5" width="58.1640625" style="72" customWidth="1"/>
    <col min="6" max="6" width="23.6640625" style="72" customWidth="1"/>
    <col min="7" max="7" width="9.5" style="72" bestFit="1" customWidth="1"/>
    <col min="8" max="16384" width="8.83203125" style="72"/>
  </cols>
  <sheetData>
    <row r="1" spans="1:64" ht="26" thickBot="1" x14ac:dyDescent="0.3">
      <c r="A1" s="71" t="s">
        <v>105</v>
      </c>
      <c r="B1" s="71"/>
      <c r="C1" s="71"/>
      <c r="D1" s="71"/>
      <c r="E1" s="71"/>
      <c r="F1" s="71"/>
    </row>
    <row r="2" spans="1:64" ht="26" thickTop="1" x14ac:dyDescent="0.25">
      <c r="A2" s="72" t="s">
        <v>71</v>
      </c>
    </row>
    <row r="4" spans="1:64" x14ac:dyDescent="0.25">
      <c r="A4" s="73" t="s">
        <v>84</v>
      </c>
      <c r="B4" s="73">
        <v>3</v>
      </c>
      <c r="F4" s="74"/>
      <c r="G4" s="74"/>
    </row>
    <row r="5" spans="1:64" x14ac:dyDescent="0.25">
      <c r="A5" s="73" t="s">
        <v>85</v>
      </c>
    </row>
    <row r="6" spans="1:64" x14ac:dyDescent="0.25">
      <c r="A6" s="75" t="s">
        <v>86</v>
      </c>
      <c r="B6" s="73">
        <v>1</v>
      </c>
      <c r="F6" s="73"/>
      <c r="G6" s="73"/>
    </row>
    <row r="7" spans="1:64" x14ac:dyDescent="0.25">
      <c r="A7" s="76"/>
      <c r="B7" s="73"/>
    </row>
    <row r="8" spans="1:64" x14ac:dyDescent="0.25">
      <c r="A8" s="77" t="s">
        <v>106</v>
      </c>
      <c r="B8" s="72">
        <f>($B$4+1)*$B$6</f>
        <v>4</v>
      </c>
    </row>
    <row r="10" spans="1:64" x14ac:dyDescent="0.25">
      <c r="A10" s="78" t="s">
        <v>90</v>
      </c>
      <c r="B10" s="79"/>
      <c r="C10" s="79"/>
      <c r="E10" s="78" t="s">
        <v>1</v>
      </c>
      <c r="F10" s="79"/>
    </row>
    <row r="11" spans="1:64" x14ac:dyDescent="0.25">
      <c r="A11" s="80" t="s">
        <v>10</v>
      </c>
      <c r="B11" s="81">
        <v>0.99</v>
      </c>
      <c r="E11" s="73" t="s">
        <v>107</v>
      </c>
      <c r="F11" s="82">
        <v>6</v>
      </c>
    </row>
    <row r="12" spans="1:64" x14ac:dyDescent="0.25">
      <c r="A12" s="83" t="s">
        <v>92</v>
      </c>
      <c r="B12" s="84">
        <f>find_s_poisson(B8,B11)</f>
        <v>9</v>
      </c>
      <c r="E12" s="72" t="s">
        <v>108</v>
      </c>
      <c r="F12" s="84">
        <f>loss_poisson(F11,B8)</f>
        <v>0.19543458146293735</v>
      </c>
      <c r="G12" s="85"/>
    </row>
    <row r="13" spans="1:64" x14ac:dyDescent="0.25">
      <c r="B13" s="86"/>
      <c r="E13" s="72" t="s">
        <v>94</v>
      </c>
      <c r="F13" s="84">
        <f>F11-(B8-F12)</f>
        <v>2.1954345814629375</v>
      </c>
    </row>
    <row r="14" spans="1:64" x14ac:dyDescent="0.25">
      <c r="E14" s="72" t="s">
        <v>96</v>
      </c>
      <c r="F14" s="84">
        <f>B4*B6</f>
        <v>3</v>
      </c>
    </row>
    <row r="15" spans="1:64" x14ac:dyDescent="0.25">
      <c r="A15" s="78" t="s">
        <v>95</v>
      </c>
      <c r="B15" s="79"/>
      <c r="C15" s="79"/>
      <c r="D15" s="80"/>
      <c r="E15" s="72" t="s">
        <v>82</v>
      </c>
      <c r="F15" s="87">
        <f>1-F12/B6</f>
        <v>0.80456541853706265</v>
      </c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</row>
    <row r="16" spans="1:64" x14ac:dyDescent="0.25">
      <c r="A16" s="73" t="s">
        <v>97</v>
      </c>
      <c r="B16" s="88">
        <v>0.8</v>
      </c>
      <c r="E16" s="72" t="s">
        <v>99</v>
      </c>
      <c r="F16" s="87">
        <f>POISSON(F11,B8,1)</f>
        <v>0.88932602159742624</v>
      </c>
    </row>
    <row r="17" spans="1:64" x14ac:dyDescent="0.25">
      <c r="A17" s="72" t="s">
        <v>98</v>
      </c>
      <c r="B17" s="89">
        <f>ROUND(B6*(1-B16),4)</f>
        <v>0.2</v>
      </c>
      <c r="C17" s="89"/>
      <c r="D17" s="89"/>
      <c r="E17" s="72" t="s">
        <v>2</v>
      </c>
      <c r="F17" s="87">
        <f>1-F16</f>
        <v>0.11067397840257376</v>
      </c>
      <c r="I17" s="89"/>
      <c r="J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</row>
    <row r="18" spans="1:64" x14ac:dyDescent="0.25">
      <c r="A18" s="83" t="s">
        <v>100</v>
      </c>
      <c r="B18" s="72" t="e">
        <f ca="1">find_s_loss_poisson(B8,B17)</f>
        <v>#NAME?</v>
      </c>
      <c r="G18" s="85"/>
      <c r="H18" s="89"/>
      <c r="I18" s="89"/>
      <c r="J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</row>
    <row r="19" spans="1:64" x14ac:dyDescent="0.25">
      <c r="B19" s="86"/>
      <c r="G19" s="85"/>
      <c r="H19" s="89"/>
      <c r="I19" s="89"/>
      <c r="J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</row>
    <row r="20" spans="1:64" x14ac:dyDescent="0.25">
      <c r="E20" s="73"/>
      <c r="F20" s="73"/>
      <c r="G20" s="85"/>
      <c r="H20" s="89"/>
      <c r="I20" s="89"/>
      <c r="J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</row>
    <row r="21" spans="1:64" x14ac:dyDescent="0.25">
      <c r="A21" s="78" t="s">
        <v>101</v>
      </c>
      <c r="B21" s="79"/>
      <c r="C21" s="79"/>
      <c r="E21" s="73"/>
      <c r="F21" s="73"/>
      <c r="G21" s="86"/>
      <c r="H21" s="90"/>
      <c r="I21" s="90"/>
      <c r="J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90"/>
      <c r="AW21" s="90"/>
      <c r="AX21" s="90"/>
      <c r="AY21" s="90"/>
      <c r="AZ21" s="90"/>
      <c r="BA21" s="90"/>
      <c r="BB21" s="90"/>
      <c r="BC21" s="90"/>
      <c r="BD21" s="90"/>
      <c r="BE21" s="90"/>
      <c r="BF21" s="90"/>
      <c r="BG21" s="90"/>
      <c r="BH21" s="90"/>
      <c r="BI21" s="90"/>
      <c r="BJ21" s="90"/>
      <c r="BK21" s="90"/>
      <c r="BL21" s="90"/>
    </row>
    <row r="22" spans="1:64" x14ac:dyDescent="0.25">
      <c r="A22" s="91" t="s">
        <v>109</v>
      </c>
      <c r="B22" s="73">
        <v>1</v>
      </c>
      <c r="F22" s="84"/>
      <c r="G22" s="86"/>
      <c r="H22" s="90"/>
      <c r="I22" s="90"/>
      <c r="J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  <c r="AY22" s="90"/>
      <c r="AZ22" s="90"/>
      <c r="BA22" s="90"/>
      <c r="BB22" s="90"/>
      <c r="BC22" s="90"/>
      <c r="BD22" s="90"/>
      <c r="BE22" s="90"/>
      <c r="BF22" s="90"/>
      <c r="BG22" s="90"/>
      <c r="BH22" s="90"/>
      <c r="BI22" s="90"/>
      <c r="BJ22" s="90"/>
      <c r="BK22" s="90"/>
      <c r="BL22" s="90"/>
    </row>
    <row r="23" spans="1:64" x14ac:dyDescent="0.25">
      <c r="A23" s="91" t="s">
        <v>110</v>
      </c>
      <c r="B23" s="73">
        <v>4</v>
      </c>
      <c r="F23" s="84"/>
      <c r="G23" s="86"/>
      <c r="H23" s="90"/>
      <c r="I23" s="90"/>
      <c r="J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0"/>
      <c r="AU23" s="90"/>
      <c r="AV23" s="90"/>
      <c r="AW23" s="90"/>
      <c r="AX23" s="90"/>
      <c r="AY23" s="90"/>
      <c r="AZ23" s="90"/>
      <c r="BA23" s="90"/>
      <c r="BB23" s="90"/>
      <c r="BC23" s="90"/>
      <c r="BD23" s="90"/>
      <c r="BE23" s="90"/>
      <c r="BF23" s="90"/>
      <c r="BG23" s="90"/>
      <c r="BH23" s="90"/>
      <c r="BI23" s="90"/>
      <c r="BJ23" s="90"/>
      <c r="BK23" s="90"/>
      <c r="BL23" s="90"/>
    </row>
    <row r="24" spans="1:64" x14ac:dyDescent="0.25">
      <c r="A24" s="72" t="s">
        <v>111</v>
      </c>
      <c r="B24" s="89">
        <f>ROUND(B23/(B22+B23),4)</f>
        <v>0.8</v>
      </c>
      <c r="F24" s="84"/>
      <c r="G24" s="86"/>
      <c r="H24" s="90"/>
      <c r="I24" s="90"/>
      <c r="J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</row>
    <row r="25" spans="1:64" x14ac:dyDescent="0.25">
      <c r="A25" s="83" t="s">
        <v>92</v>
      </c>
      <c r="B25" s="84">
        <f>find_s_poisson(B8,B24)</f>
        <v>6</v>
      </c>
      <c r="D25" s="89"/>
      <c r="F25" s="87"/>
      <c r="G25" s="87"/>
      <c r="H25" s="87"/>
    </row>
    <row r="26" spans="1:64" x14ac:dyDescent="0.25">
      <c r="B26" s="86"/>
      <c r="D26" s="89"/>
      <c r="F26" s="87"/>
      <c r="G26" s="87"/>
      <c r="H26" s="87"/>
    </row>
    <row r="27" spans="1:64" x14ac:dyDescent="0.25">
      <c r="F27" s="92"/>
      <c r="G27" s="92"/>
    </row>
    <row r="30" spans="1:64" x14ac:dyDescent="0.25">
      <c r="C30" s="80"/>
    </row>
    <row r="32" spans="1:64" x14ac:dyDescent="0.25">
      <c r="C32" s="89"/>
    </row>
    <row r="33" spans="3:7" x14ac:dyDescent="0.25">
      <c r="C33" s="89"/>
    </row>
    <row r="34" spans="3:7" x14ac:dyDescent="0.25">
      <c r="C34" s="89"/>
      <c r="F34" s="93"/>
      <c r="G34" s="93"/>
    </row>
    <row r="35" spans="3:7" x14ac:dyDescent="0.25">
      <c r="C35" s="89"/>
    </row>
    <row r="36" spans="3:7" x14ac:dyDescent="0.25">
      <c r="C36" s="90"/>
    </row>
    <row r="37" spans="3:7" x14ac:dyDescent="0.25">
      <c r="F37" s="94"/>
    </row>
    <row r="38" spans="3:7" x14ac:dyDescent="0.25">
      <c r="F38" s="89"/>
    </row>
  </sheetData>
  <pageMargins left="0.75" right="0.75" top="1" bottom="1" header="0.5" footer="0.5"/>
  <pageSetup orientation="portrait" horizontalDpi="4294967292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5B45A-FC44-014F-9116-09B3A7D96DD5}">
  <sheetPr codeName="Sheet6"/>
  <dimension ref="A1:K30"/>
  <sheetViews>
    <sheetView showGridLines="0" workbookViewId="0">
      <selection activeCell="O5" sqref="O5"/>
    </sheetView>
  </sheetViews>
  <sheetFormatPr baseColWidth="10" defaultColWidth="8.83203125" defaultRowHeight="23" x14ac:dyDescent="0.25"/>
  <cols>
    <col min="1" max="1" width="32.83203125" style="48" customWidth="1"/>
    <col min="2" max="16384" width="8.83203125" style="48"/>
  </cols>
  <sheetData>
    <row r="1" spans="1:11" x14ac:dyDescent="0.25">
      <c r="A1" s="95" t="s">
        <v>12</v>
      </c>
      <c r="B1" s="57"/>
      <c r="C1" s="57"/>
      <c r="D1" s="57"/>
      <c r="E1" s="57"/>
      <c r="F1" s="57"/>
      <c r="G1" s="57"/>
      <c r="H1" s="57"/>
      <c r="I1" s="57"/>
      <c r="J1" s="57"/>
      <c r="K1" s="57"/>
    </row>
    <row r="3" spans="1:11" x14ac:dyDescent="0.25">
      <c r="A3" s="48" t="s">
        <v>13</v>
      </c>
      <c r="B3" s="48" t="s">
        <v>14</v>
      </c>
    </row>
    <row r="4" spans="1:11" x14ac:dyDescent="0.25">
      <c r="A4" s="48" t="s">
        <v>15</v>
      </c>
      <c r="B4" s="48" t="s">
        <v>16</v>
      </c>
    </row>
    <row r="6" spans="1:11" x14ac:dyDescent="0.25">
      <c r="A6" s="48" t="s">
        <v>17</v>
      </c>
      <c r="B6" s="48" t="s">
        <v>18</v>
      </c>
    </row>
    <row r="7" spans="1:11" x14ac:dyDescent="0.25">
      <c r="A7" s="48" t="s">
        <v>19</v>
      </c>
      <c r="B7" s="48" t="s">
        <v>20</v>
      </c>
    </row>
    <row r="9" spans="1:11" x14ac:dyDescent="0.25">
      <c r="A9" s="48" t="s">
        <v>21</v>
      </c>
      <c r="B9" s="48" t="s">
        <v>22</v>
      </c>
    </row>
    <row r="10" spans="1:11" x14ac:dyDescent="0.25">
      <c r="A10" s="48" t="s">
        <v>23</v>
      </c>
      <c r="B10" s="48" t="s">
        <v>24</v>
      </c>
    </row>
    <row r="12" spans="1:11" x14ac:dyDescent="0.25">
      <c r="A12" s="48" t="s">
        <v>25</v>
      </c>
      <c r="B12" s="48" t="s">
        <v>26</v>
      </c>
    </row>
    <row r="13" spans="1:11" x14ac:dyDescent="0.25">
      <c r="A13" s="48" t="s">
        <v>27</v>
      </c>
      <c r="B13" s="48" t="s">
        <v>28</v>
      </c>
    </row>
    <row r="15" spans="1:11" x14ac:dyDescent="0.25">
      <c r="A15" s="48" t="s">
        <v>29</v>
      </c>
      <c r="B15" s="48" t="s">
        <v>30</v>
      </c>
    </row>
    <row r="17" spans="1:2" x14ac:dyDescent="0.25">
      <c r="A17" s="48" t="s">
        <v>31</v>
      </c>
      <c r="B17" s="48" t="s">
        <v>32</v>
      </c>
    </row>
    <row r="18" spans="1:2" x14ac:dyDescent="0.25">
      <c r="A18" s="48" t="s">
        <v>33</v>
      </c>
      <c r="B18" s="48" t="s">
        <v>34</v>
      </c>
    </row>
    <row r="19" spans="1:2" x14ac:dyDescent="0.25">
      <c r="A19" s="48" t="s">
        <v>35</v>
      </c>
      <c r="B19" s="48" t="s">
        <v>36</v>
      </c>
    </row>
    <row r="20" spans="1:2" x14ac:dyDescent="0.25">
      <c r="A20" s="48" t="s">
        <v>37</v>
      </c>
      <c r="B20" s="48" t="s">
        <v>38</v>
      </c>
    </row>
    <row r="21" spans="1:2" x14ac:dyDescent="0.25">
      <c r="A21" s="48" t="s">
        <v>39</v>
      </c>
      <c r="B21" s="48" t="s">
        <v>40</v>
      </c>
    </row>
    <row r="23" spans="1:2" x14ac:dyDescent="0.25">
      <c r="A23" s="63" t="s">
        <v>41</v>
      </c>
    </row>
    <row r="24" spans="1:2" x14ac:dyDescent="0.25">
      <c r="A24" s="48" t="s">
        <v>42</v>
      </c>
      <c r="B24" s="48" t="s">
        <v>43</v>
      </c>
    </row>
    <row r="25" spans="1:2" x14ac:dyDescent="0.25">
      <c r="A25" s="48" t="s">
        <v>44</v>
      </c>
      <c r="B25" s="48" t="s">
        <v>45</v>
      </c>
    </row>
    <row r="26" spans="1:2" x14ac:dyDescent="0.25">
      <c r="A26" s="48" t="s">
        <v>46</v>
      </c>
      <c r="B26" s="48" t="s">
        <v>47</v>
      </c>
    </row>
    <row r="27" spans="1:2" x14ac:dyDescent="0.25">
      <c r="A27" s="48" t="s">
        <v>48</v>
      </c>
      <c r="B27" s="48" t="s">
        <v>49</v>
      </c>
    </row>
    <row r="28" spans="1:2" x14ac:dyDescent="0.25">
      <c r="A28" s="48" t="s">
        <v>50</v>
      </c>
      <c r="B28" s="48" t="s">
        <v>51</v>
      </c>
    </row>
    <row r="29" spans="1:2" x14ac:dyDescent="0.25">
      <c r="A29" s="48" t="s">
        <v>52</v>
      </c>
      <c r="B29" s="48" t="s">
        <v>53</v>
      </c>
    </row>
    <row r="30" spans="1:2" x14ac:dyDescent="0.25">
      <c r="A30" s="48" t="s">
        <v>54</v>
      </c>
      <c r="B30" s="48" t="s">
        <v>55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NewsVendor(Normal)</vt:lpstr>
      <vt:lpstr>NewVendor(Poisson)</vt:lpstr>
      <vt:lpstr>NewVendorFunctions</vt:lpstr>
      <vt:lpstr>OUT(Norm)Temp</vt:lpstr>
      <vt:lpstr>OUT(Poisson)Temp</vt:lpstr>
      <vt:lpstr>OUTmodelFunctions</vt:lpstr>
    </vt:vector>
  </TitlesOfParts>
  <Company>The 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Default;Veeraraghavan, Senthil;Veeraraghavan, Senthil</dc:creator>
  <cp:lastModifiedBy>Tseung, Tracy Y</cp:lastModifiedBy>
  <dcterms:created xsi:type="dcterms:W3CDTF">2001-12-31T18:12:52Z</dcterms:created>
  <dcterms:modified xsi:type="dcterms:W3CDTF">2025-03-20T03:31:41Z</dcterms:modified>
</cp:coreProperties>
</file>